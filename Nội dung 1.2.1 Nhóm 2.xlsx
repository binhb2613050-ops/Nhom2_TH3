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bookViews>
    <workbookView xWindow="240" yWindow="105" windowWidth="14805" windowHeight="8010" firstSheet="2" activeTab="4"/>
  </bookViews>
  <sheets>
    <sheet name="1.2.1.1 Sheet tổng hợp điểm" sheetId="7" r:id="rId1"/>
    <sheet name="1.2.1.2 Điểm thực hành các buổi" sheetId="3" r:id="rId2"/>
    <sheet name="1.2.1.3 Điểm bài tập lớn" sheetId="4" r:id="rId3"/>
    <sheet name="1.2.1.4 Điểm lý thuyết" sheetId="5" r:id="rId4"/>
    <sheet name="1.2.1.5 Bảng tham chiếu &amp; tk" sheetId="6" r:id="rId5"/>
    <sheet name="Sinh viên điểm&lt;7" sheetId="8" r:id="rId6"/>
    <sheet name="Sinh viên điểm &gt;=7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5" i="6" l="1"/>
  <c r="J14" i="7"/>
  <c r="K14" i="7" s="1" a="1"/>
  <c r="K14" i="7" s="1"/>
  <c r="J17" i="7"/>
  <c r="K17" i="7" s="1" a="1"/>
  <c r="K17" i="7" s="1"/>
  <c r="J19" i="7"/>
  <c r="K19" i="7" s="1" a="1"/>
  <c r="K19" i="7" s="1"/>
  <c r="I8" i="7"/>
  <c r="J8" i="7" s="1"/>
  <c r="K8" i="7" s="1" a="1"/>
  <c r="K8" i="7" s="1"/>
  <c r="I9" i="7"/>
  <c r="J9" i="7" s="1"/>
  <c r="K9" i="7" s="1" a="1"/>
  <c r="K9" i="7" s="1"/>
  <c r="I10" i="7"/>
  <c r="J10" i="7" s="1"/>
  <c r="K10" i="7" s="1" a="1"/>
  <c r="K10" i="7" s="1"/>
  <c r="I11" i="7"/>
  <c r="J11" i="7" s="1"/>
  <c r="K11" i="7" s="1" a="1"/>
  <c r="K11" i="7" s="1"/>
  <c r="I12" i="7"/>
  <c r="J12" i="7" s="1"/>
  <c r="K12" i="7" s="1" a="1"/>
  <c r="K12" i="7" s="1"/>
  <c r="I13" i="7"/>
  <c r="J13" i="7" s="1"/>
  <c r="K13" i="7" s="1" a="1"/>
  <c r="K13" i="7" s="1"/>
  <c r="I14" i="7"/>
  <c r="I15" i="7"/>
  <c r="J15" i="7" s="1"/>
  <c r="K15" i="7" s="1" a="1"/>
  <c r="K15" i="7" s="1"/>
  <c r="I16" i="7"/>
  <c r="J16" i="7" s="1"/>
  <c r="K16" i="7" s="1" a="1"/>
  <c r="K16" i="7" s="1"/>
  <c r="I17" i="7"/>
  <c r="I18" i="7"/>
  <c r="J18" i="7" s="1"/>
  <c r="K18" i="7" s="1" a="1"/>
  <c r="K18" i="7" s="1"/>
  <c r="I19" i="7"/>
  <c r="I20" i="7"/>
  <c r="J20" i="7" s="1"/>
  <c r="K20" i="7" s="1" a="1"/>
  <c r="K20" i="7" s="1"/>
  <c r="I7" i="7"/>
  <c r="J7" i="7" s="1"/>
  <c r="A3" i="9" l="1" a="1"/>
  <c r="A3" i="9" s="1"/>
  <c r="K7" i="7" a="1"/>
  <c r="K7" i="7" s="1"/>
  <c r="G16" i="6" l="1"/>
  <c r="G17" i="6"/>
  <c r="G18" i="6"/>
  <c r="G19" i="6"/>
  <c r="G20" i="6"/>
  <c r="G21" i="6"/>
  <c r="G22" i="6"/>
  <c r="G15" i="6"/>
  <c r="G28" i="6"/>
  <c r="A3" i="8" a="1"/>
  <c r="A3" i="8" s="1"/>
  <c r="K4" i="9"/>
  <c r="J4" i="9"/>
  <c r="I4" i="9"/>
  <c r="H4" i="9"/>
  <c r="G4" i="9"/>
  <c r="F4" i="9"/>
  <c r="E4" i="9"/>
  <c r="D4" i="9"/>
  <c r="C4" i="9"/>
  <c r="B4" i="9"/>
  <c r="A4" i="9"/>
  <c r="K3" i="9"/>
  <c r="J3" i="9"/>
  <c r="I3" i="9"/>
  <c r="H3" i="9"/>
  <c r="G3" i="9"/>
  <c r="F3" i="9"/>
  <c r="E3" i="9"/>
  <c r="D3" i="9"/>
  <c r="C3" i="9"/>
  <c r="B3" i="9"/>
  <c r="K14" i="8"/>
  <c r="J14" i="8"/>
  <c r="I14" i="8"/>
  <c r="H14" i="8"/>
  <c r="G14" i="8"/>
  <c r="F14" i="8"/>
  <c r="E14" i="8"/>
  <c r="D14" i="8"/>
  <c r="C14" i="8"/>
  <c r="B14" i="8"/>
  <c r="A14" i="8"/>
  <c r="K13" i="8"/>
  <c r="J13" i="8"/>
  <c r="I13" i="8"/>
  <c r="H13" i="8"/>
  <c r="G13" i="8"/>
  <c r="F13" i="8"/>
  <c r="E13" i="8"/>
  <c r="D13" i="8"/>
  <c r="C13" i="8"/>
  <c r="B13" i="8"/>
  <c r="A13" i="8"/>
  <c r="K12" i="8"/>
  <c r="J12" i="8"/>
  <c r="I12" i="8"/>
  <c r="H12" i="8"/>
  <c r="G12" i="8"/>
  <c r="F12" i="8"/>
  <c r="E12" i="8"/>
  <c r="D12" i="8"/>
  <c r="C12" i="8"/>
  <c r="B12" i="8"/>
  <c r="A12" i="8"/>
  <c r="K11" i="8"/>
  <c r="J11" i="8"/>
  <c r="I11" i="8"/>
  <c r="H11" i="8"/>
  <c r="G11" i="8"/>
  <c r="F11" i="8"/>
  <c r="E11" i="8"/>
  <c r="D11" i="8"/>
  <c r="C11" i="8"/>
  <c r="B11" i="8"/>
  <c r="A11" i="8"/>
  <c r="K10" i="8"/>
  <c r="J10" i="8"/>
  <c r="I10" i="8"/>
  <c r="H10" i="8"/>
  <c r="G10" i="8"/>
  <c r="F10" i="8"/>
  <c r="E10" i="8"/>
  <c r="D10" i="8"/>
  <c r="C10" i="8"/>
  <c r="B10" i="8"/>
  <c r="A10" i="8"/>
  <c r="K9" i="8"/>
  <c r="J9" i="8"/>
  <c r="I9" i="8"/>
  <c r="H9" i="8"/>
  <c r="G9" i="8"/>
  <c r="F9" i="8"/>
  <c r="E9" i="8"/>
  <c r="D9" i="8"/>
  <c r="C9" i="8"/>
  <c r="B9" i="8"/>
  <c r="A9" i="8"/>
  <c r="K8" i="8"/>
  <c r="J8" i="8"/>
  <c r="I8" i="8"/>
  <c r="H8" i="8"/>
  <c r="G8" i="8"/>
  <c r="F8" i="8"/>
  <c r="E8" i="8"/>
  <c r="D8" i="8"/>
  <c r="C8" i="8"/>
  <c r="B8" i="8"/>
  <c r="A8" i="8"/>
  <c r="K7" i="8"/>
  <c r="J7" i="8"/>
  <c r="I7" i="8"/>
  <c r="H7" i="8"/>
  <c r="G7" i="8"/>
  <c r="F7" i="8"/>
  <c r="E7" i="8"/>
  <c r="D7" i="8"/>
  <c r="C7" i="8"/>
  <c r="B7" i="8"/>
  <c r="A7" i="8"/>
  <c r="K6" i="8"/>
  <c r="J6" i="8"/>
  <c r="I6" i="8"/>
  <c r="H6" i="8"/>
  <c r="G6" i="8"/>
  <c r="F6" i="8"/>
  <c r="E6" i="8"/>
  <c r="D6" i="8"/>
  <c r="C6" i="8"/>
  <c r="B6" i="8"/>
  <c r="A6" i="8"/>
  <c r="K5" i="8"/>
  <c r="J5" i="8"/>
  <c r="I5" i="8"/>
  <c r="H5" i="8"/>
  <c r="G5" i="8"/>
  <c r="F5" i="8"/>
  <c r="E5" i="8"/>
  <c r="D5" i="8"/>
  <c r="C5" i="8"/>
  <c r="B5" i="8"/>
  <c r="A5" i="8"/>
  <c r="K4" i="8"/>
  <c r="J4" i="8"/>
  <c r="I4" i="8"/>
  <c r="H4" i="8"/>
  <c r="G4" i="8"/>
  <c r="F4" i="8"/>
  <c r="E4" i="8"/>
  <c r="D4" i="8"/>
  <c r="C4" i="8"/>
  <c r="B4" i="8"/>
  <c r="A4" i="8"/>
  <c r="K3" i="8"/>
  <c r="J3" i="8"/>
  <c r="I3" i="8"/>
  <c r="H3" i="8"/>
  <c r="G3" i="8"/>
  <c r="F3" i="8"/>
  <c r="E3" i="8"/>
  <c r="D3" i="8"/>
  <c r="C3" i="8"/>
  <c r="B3" i="8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<sst xmlns="http://schemas.openxmlformats.org/spreadsheetml/2006/main" count="253" uniqueCount="90">
  <si>
    <t>ĐIỂM THI HKI-2018-2019 (CT428)</t>
  </si>
  <si>
    <t>Ma CB</t>
  </si>
  <si>
    <t>Ho va ten</t>
  </si>
  <si>
    <t>Nguyen Minh Trung</t>
  </si>
  <si>
    <t>Ma MH</t>
  </si>
  <si>
    <t>CT428</t>
  </si>
  <si>
    <t>Ma NH</t>
  </si>
  <si>
    <t>Nam hoc</t>
  </si>
  <si>
    <t>2020-2021</t>
  </si>
  <si>
    <t>Hoc ky</t>
  </si>
  <si>
    <t>STT</t>
  </si>
  <si>
    <t>Mã SV</t>
  </si>
  <si>
    <t>Họ và Tên</t>
  </si>
  <si>
    <t>Điểm TH 1</t>
  </si>
  <si>
    <t>Điểm TH 2</t>
  </si>
  <si>
    <t>Điểm TH 3</t>
  </si>
  <si>
    <t>Điểm BT lớn</t>
  </si>
  <si>
    <t>Điểm L.T</t>
  </si>
  <si>
    <t>Điểm tổng</t>
  </si>
  <si>
    <t>Điểm theo thang điểm 10</t>
  </si>
  <si>
    <t>Điểm chữ</t>
  </si>
  <si>
    <t>0B1505719</t>
  </si>
  <si>
    <t>Nguyễn Văn Hiếu</t>
  </si>
  <si>
    <t>1B1505915</t>
  </si>
  <si>
    <t>Lý Minh Trí</t>
  </si>
  <si>
    <t>0B1509874</t>
  </si>
  <si>
    <t>Nguyễn Kiều Mi</t>
  </si>
  <si>
    <t>0B1509929</t>
  </si>
  <si>
    <t>Đặng Duy Linh</t>
  </si>
  <si>
    <t>2B1605223</t>
  </si>
  <si>
    <t>Lê Thị Trúc Linh</t>
  </si>
  <si>
    <t>0B1605235</t>
  </si>
  <si>
    <t>Phạm THị Huỳnh</t>
  </si>
  <si>
    <t>0B1605249</t>
  </si>
  <si>
    <t xml:space="preserve">Lê Minh Thông </t>
  </si>
  <si>
    <t>0B1605285</t>
  </si>
  <si>
    <t xml:space="preserve">Huỳnh Thị Diễm </t>
  </si>
  <si>
    <t>0B1605291</t>
  </si>
  <si>
    <t>Trần Thanh Nguyên</t>
  </si>
  <si>
    <t>1B1605344</t>
  </si>
  <si>
    <t>Nguyễn Thị Đào</t>
  </si>
  <si>
    <t>4B1607025</t>
  </si>
  <si>
    <t>Nguyễn Chí Thanh</t>
  </si>
  <si>
    <t>2B1609759</t>
  </si>
  <si>
    <t>Nguyễn Hải Anh</t>
  </si>
  <si>
    <t>5B1609765</t>
  </si>
  <si>
    <t>Trần Nam Dương</t>
  </si>
  <si>
    <t>0B1609773</t>
  </si>
  <si>
    <t>Nguyễn Duy Khanh</t>
  </si>
  <si>
    <t>A</t>
  </si>
  <si>
    <t>B</t>
  </si>
  <si>
    <t>C</t>
  </si>
  <si>
    <t>D</t>
  </si>
  <si>
    <t>E</t>
  </si>
  <si>
    <t>F</t>
  </si>
  <si>
    <t>Điểm thực hành các buổi</t>
  </si>
  <si>
    <t xml:space="preserve">Điểm TH 1 </t>
  </si>
  <si>
    <t>B1505719</t>
  </si>
  <si>
    <t>B1505915</t>
  </si>
  <si>
    <t>B1509874</t>
  </si>
  <si>
    <t>B1509929</t>
  </si>
  <si>
    <t>B1605223</t>
  </si>
  <si>
    <t>B1605235</t>
  </si>
  <si>
    <t>B1605249</t>
  </si>
  <si>
    <t>B1605285</t>
  </si>
  <si>
    <t>B1605291</t>
  </si>
  <si>
    <t>B1605344</t>
  </si>
  <si>
    <t>B1607025</t>
  </si>
  <si>
    <t>B1609759</t>
  </si>
  <si>
    <t>B1609765</t>
  </si>
  <si>
    <t>B1609773</t>
  </si>
  <si>
    <t>Điểm bài tập lớn</t>
  </si>
  <si>
    <t>Họ và tên</t>
  </si>
  <si>
    <t xml:space="preserve">Điểm BL lớn </t>
  </si>
  <si>
    <t>Điểm lý thuyết</t>
  </si>
  <si>
    <t xml:space="preserve">Điểm lý thuyết </t>
  </si>
  <si>
    <t>Bảng quy đổi điểm</t>
  </si>
  <si>
    <t xml:space="preserve">Bảng điểm Chuyên cần </t>
  </si>
  <si>
    <t>Điểm theo thang điểm 4</t>
  </si>
  <si>
    <t xml:space="preserve">Số buổi vắng </t>
  </si>
  <si>
    <t>Điểm CT</t>
  </si>
  <si>
    <t>D+</t>
  </si>
  <si>
    <t>C+</t>
  </si>
  <si>
    <t>B+</t>
  </si>
  <si>
    <t>Danh sách Sinh Viên</t>
  </si>
  <si>
    <t>Bảng thống kê theo điểm chữ</t>
  </si>
  <si>
    <t>Số lượng sinh viên</t>
  </si>
  <si>
    <t>Bảng thống kê SV</t>
  </si>
  <si>
    <t>Số sinh viên điểm BT lớn = 0 hoặc điểm LT = -3</t>
  </si>
  <si>
    <t>Số SV nghỉ TH &gt;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</si>
</sst>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Aptos Narrow"/>
      <charset val="1"/>
    </font>
    <font>
      <b/>
      <sz val="11"/>
      <color theme="1"/>
      <name val="Aptos Narrow"/>
      <charset val="1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2"/>
      <color theme="1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5959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0" fillId="0" borderId="7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/>
    <xf numFmtId="0" fontId="2" fillId="0" borderId="1" xfId="0" applyFont="1" applyBorder="1"/>
    <xf numFmtId="0" fontId="1" fillId="6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5" xfId="0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right" vertical="center"/>
    </xf>
    <xf numFmtId="0" fontId="5" fillId="0" borderId="0" xfId="0" applyFont="1"/>
    <xf numFmtId="0" fontId="0" fillId="3" borderId="5" xfId="0" applyFill="1" applyBorder="1"/>
    <xf numFmtId="0" fontId="1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left"/>
    </xf>
    <xf numFmtId="0" fontId="7" fillId="0" borderId="1" xfId="0" applyFont="1" applyBorder="1"/>
    <xf numFmtId="0" fontId="7" fillId="0" borderId="1" xfId="0" applyFont="1" applyBorder="1" applyAlignment="1">
      <alignment horizontal="left"/>
    </xf>
    <xf numFmtId="0" fontId="7" fillId="2" borderId="1" xfId="0" applyFont="1" applyFill="1" applyBorder="1" applyAlignment="1">
      <alignment horizontal="center" vertical="center" textRotation="255" wrapText="1"/>
    </xf>
    <xf numFmtId="0" fontId="7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/>
    <xf numFmtId="0" fontId="7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 vertical="top" wrapText="1" indent="1"/>
    </xf>
    <xf numFmtId="0" fontId="0" fillId="3" borderId="10" xfId="0" applyFill="1" applyBorder="1" applyAlignment="1">
      <alignment horizontal="center" vertical="top" wrapText="1" indent="1"/>
    </xf>
    <xf numFmtId="0" fontId="0" fillId="3" borderId="7" xfId="0" applyFill="1" applyBorder="1" applyAlignment="1">
      <alignment horizontal="center" vertical="top" wrapText="1" indent="1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59595"/>
      <color rgb="FF000000"/>
      <color rgb="FFE053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vi-VN"/>
              <a:t>Thống kể tổng số lượng sinh viên theo điểm chữ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'1.2.1.5 Bảng tham chiếu &amp; tk'!$G$14</c:f>
              <c:strCache>
                <c:ptCount val="1"/>
                <c:pt idx="0">
                  <c:v>Số lượng sinh viên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34B-4A33-A3EC-0F5DF596630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B34B-4A33-A3EC-0F5DF596630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B34B-4A33-A3EC-0F5DF596630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B34B-4A33-A3EC-0F5DF596630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B34B-4A33-A3EC-0F5DF596630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B34B-4A33-A3EC-0F5DF596630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B34B-4A33-A3EC-0F5DF5966306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B34B-4A33-A3EC-0F5DF59663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'1.2.1.5 Bảng tham chiếu &amp; tk'!$F$15:$F$22</c:f>
              <c:strCache>
                <c:ptCount val="8"/>
                <c:pt idx="0">
                  <c:v>A</c:v>
                </c:pt>
                <c:pt idx="1">
                  <c:v>B+</c:v>
                </c:pt>
                <c:pt idx="2">
                  <c:v>B</c:v>
                </c:pt>
                <c:pt idx="3">
                  <c:v>C+</c:v>
                </c:pt>
                <c:pt idx="4">
                  <c:v>C</c:v>
                </c:pt>
                <c:pt idx="5">
                  <c:v>D+</c:v>
                </c:pt>
                <c:pt idx="6">
                  <c:v>D</c:v>
                </c:pt>
                <c:pt idx="7">
                  <c:v>F</c:v>
                </c:pt>
              </c:strCache>
            </c:strRef>
          </c:cat>
          <c:val>
            <c:numRef>
              <c:f>'1.2.1.5 Bảng tham chiếu &amp; tk'!$G$15:$G$22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F7B-4E0C-AAFE-954B6600D09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95250</xdr:colOff>
      <xdr:row>10</xdr:row>
      <xdr:rowOff>133350</xdr:rowOff>
    </xdr:from>
    <xdr:to>
      <xdr:col>15</xdr:col>
      <xdr:colOff>352425</xdr:colOff>
      <xdr:row>23</xdr:row>
      <xdr:rowOff>161925</xdr:rowOff>
    </xdr:to>
    <xdr:graphicFrame macro="">
      <xdr:nvGraphicFramePr>
        <xdr:cNvPr id="2" name="Biểu đồ 1">
          <a:extLst>
            <a:ext uri="{FF2B5EF4-FFF2-40B4-BE49-F238E27FC236}">
              <a16:creationId xmlns:a16="http://schemas.microsoft.com/office/drawing/2014/main" xmlns="" id="{324C3B8B-4D56-115C-83B2-4F2D5C8019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selection activeCell="O6" sqref="O6"/>
    </sheetView>
  </sheetViews>
  <sheetFormatPr defaultRowHeight="15"/>
  <cols>
    <col min="1" max="1" width="6.7109375" customWidth="1"/>
    <col min="2" max="2" width="18.140625" customWidth="1"/>
    <col min="3" max="3" width="18" customWidth="1"/>
    <col min="5" max="5" width="9.5703125" customWidth="1"/>
  </cols>
  <sheetData>
    <row r="1" spans="1:11" ht="15.75">
      <c r="A1" s="27"/>
      <c r="B1" s="33" t="s">
        <v>0</v>
      </c>
      <c r="C1" s="33"/>
      <c r="D1" s="33"/>
      <c r="E1" s="33"/>
      <c r="F1" s="33"/>
      <c r="G1" s="33"/>
      <c r="H1" s="33"/>
      <c r="I1" s="27"/>
      <c r="J1" s="27"/>
      <c r="K1" s="27"/>
    </row>
    <row r="2" spans="1:11" ht="15.75">
      <c r="A2" s="27"/>
      <c r="B2" s="27" t="s">
        <v>1</v>
      </c>
      <c r="C2" s="28">
        <v>1043</v>
      </c>
      <c r="D2" s="32" t="s">
        <v>2</v>
      </c>
      <c r="E2" s="32"/>
      <c r="F2" s="32" t="s">
        <v>3</v>
      </c>
      <c r="G2" s="32"/>
      <c r="H2" s="32"/>
      <c r="I2" s="27"/>
      <c r="J2" s="27"/>
      <c r="K2" s="27"/>
    </row>
    <row r="3" spans="1:11" ht="15.75">
      <c r="A3" s="27"/>
      <c r="B3" s="27" t="s">
        <v>4</v>
      </c>
      <c r="C3" s="27" t="s">
        <v>5</v>
      </c>
      <c r="D3" s="32" t="s">
        <v>6</v>
      </c>
      <c r="E3" s="32"/>
      <c r="F3" s="32">
        <v>8</v>
      </c>
      <c r="G3" s="32"/>
      <c r="H3" s="32"/>
      <c r="I3" s="27"/>
      <c r="J3" s="27"/>
      <c r="K3" s="27"/>
    </row>
    <row r="4" spans="1:11" ht="15.75">
      <c r="A4" s="27"/>
      <c r="B4" s="27" t="s">
        <v>7</v>
      </c>
      <c r="C4" s="27" t="s">
        <v>8</v>
      </c>
      <c r="D4" s="32" t="s">
        <v>9</v>
      </c>
      <c r="E4" s="32"/>
      <c r="F4" s="32">
        <v>1</v>
      </c>
      <c r="G4" s="32"/>
      <c r="H4" s="32"/>
      <c r="I4" s="27"/>
      <c r="J4" s="27"/>
      <c r="K4" s="27"/>
    </row>
    <row r="5" spans="1:11" ht="15.7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</row>
    <row r="6" spans="1:11" ht="74.25" customHeight="1">
      <c r="A6" s="29" t="s">
        <v>10</v>
      </c>
      <c r="B6" s="30" t="s">
        <v>11</v>
      </c>
      <c r="C6" s="30" t="s">
        <v>12</v>
      </c>
      <c r="D6" s="30" t="s">
        <v>13</v>
      </c>
      <c r="E6" s="30" t="s">
        <v>14</v>
      </c>
      <c r="F6" s="30" t="s">
        <v>15</v>
      </c>
      <c r="G6" s="30" t="s">
        <v>16</v>
      </c>
      <c r="H6" s="30" t="s">
        <v>17</v>
      </c>
      <c r="I6" s="30" t="s">
        <v>18</v>
      </c>
      <c r="J6" s="30" t="s">
        <v>19</v>
      </c>
      <c r="K6" s="30" t="s">
        <v>20</v>
      </c>
    </row>
    <row r="7" spans="1:11" ht="15.75">
      <c r="A7" s="27">
        <v>1</v>
      </c>
      <c r="B7" s="7" t="s">
        <v>21</v>
      </c>
      <c r="C7" s="10" t="s">
        <v>22</v>
      </c>
      <c r="D7" s="7">
        <v>0.45</v>
      </c>
      <c r="E7" s="7">
        <v>0.25</v>
      </c>
      <c r="F7" s="7">
        <v>0.3</v>
      </c>
      <c r="G7" s="7">
        <v>0.5</v>
      </c>
      <c r="H7" s="1">
        <v>4.2</v>
      </c>
      <c r="I7" s="27">
        <f>ROUND(IF(H7=-3, 0, D7+E7+F7+G7+0.6*H7), 1)</f>
        <v>4</v>
      </c>
      <c r="J7" s="31">
        <f>ROUND(IF(OR(G7=0, VALUE(LEFT(B7,1))&gt;2), 0, I7 + _xlfn.XLOOKUP(VALUE(LEFT(B7,1)), '1.2.1.5 Bảng tham chiếu &amp; tk'!$E$4:$E$6, '1.2.1.5 Bảng tham chiếu &amp; tk'!$G$4:$G$6, 0)), 1)</f>
        <v>4</v>
      </c>
      <c r="K7" s="31" t="str" cm="1">
        <f t="array" ref="K7">_xlfn.IFS(J7&gt;=9, "A", J7&gt;=8, "B+", J7&gt;=7, "B", J7&gt;=6.5, "C+", J7&gt;=5.5, "C", J7&gt;=5, "D+", J7&gt;=4, "D", TRUE, "F")</f>
        <v>D</v>
      </c>
    </row>
    <row r="8" spans="1:11" ht="15.75">
      <c r="A8" s="27">
        <v>2</v>
      </c>
      <c r="B8" s="7" t="s">
        <v>23</v>
      </c>
      <c r="C8" s="1" t="s">
        <v>24</v>
      </c>
      <c r="D8" s="7">
        <v>0.5</v>
      </c>
      <c r="E8" s="7">
        <v>0.3</v>
      </c>
      <c r="F8" s="7">
        <v>0.4</v>
      </c>
      <c r="G8" s="7">
        <v>1</v>
      </c>
      <c r="H8" s="1">
        <v>5.8</v>
      </c>
      <c r="I8" s="27">
        <f t="shared" ref="I8:I20" si="0">ROUND(IF(H8=-3, 0, D8+E8+F8+G8+0.6*H8), 1)</f>
        <v>5.7</v>
      </c>
      <c r="J8" s="31">
        <f>ROUND(IF(OR(G8=0, VALUE(LEFT(B8,1))&gt;2), 0, I8 + _xlfn.XLOOKUP(VALUE(LEFT(B8,1)), '1.2.1.5 Bảng tham chiếu &amp; tk'!$E$4:$E$6, '1.2.1.5 Bảng tham chiếu &amp; tk'!$G$4:$G$6, 0)), 1)</f>
        <v>5.7</v>
      </c>
      <c r="K8" s="31" t="str" cm="1">
        <f t="array" ref="K8">_xlfn.IFS(J8&gt;=9, "A", J8&gt;=8, "B+", J8&gt;=7, "B", J8&gt;=6.5, "C+", J8&gt;=5.5, "C", J8&gt;=5, "D+", J8&gt;=4, "D", TRUE, "F")</f>
        <v>C</v>
      </c>
    </row>
    <row r="9" spans="1:11" ht="15.75">
      <c r="A9" s="27">
        <v>3</v>
      </c>
      <c r="B9" s="7" t="s">
        <v>25</v>
      </c>
      <c r="C9" s="1" t="s">
        <v>26</v>
      </c>
      <c r="D9" s="7">
        <v>0.25</v>
      </c>
      <c r="E9" s="7">
        <v>0.25</v>
      </c>
      <c r="F9" s="7">
        <v>0.3</v>
      </c>
      <c r="G9" s="7">
        <v>0.5</v>
      </c>
      <c r="H9" s="1">
        <v>5.8</v>
      </c>
      <c r="I9" s="27">
        <f t="shared" si="0"/>
        <v>4.8</v>
      </c>
      <c r="J9" s="31">
        <f>ROUND(IF(OR(G9=0, VALUE(LEFT(B9,1))&gt;2), 0, I9 + _xlfn.XLOOKUP(VALUE(LEFT(B9,1)), '1.2.1.5 Bảng tham chiếu &amp; tk'!$E$4:$E$6, '1.2.1.5 Bảng tham chiếu &amp; tk'!$G$4:$G$6, 0)), 1)</f>
        <v>4.8</v>
      </c>
      <c r="K9" s="31" t="str" cm="1">
        <f t="array" ref="K9">_xlfn.IFS(J9&gt;=9, "A", J9&gt;=8, "B+", J9&gt;=7, "B", J9&gt;=6.5, "C+", J9&gt;=5.5, "C", J9&gt;=5, "D+", J9&gt;=4, "D", TRUE, "F")</f>
        <v>D</v>
      </c>
    </row>
    <row r="10" spans="1:11" ht="15.75">
      <c r="A10" s="27">
        <v>4</v>
      </c>
      <c r="B10" s="7" t="s">
        <v>27</v>
      </c>
      <c r="C10" s="1" t="s">
        <v>28</v>
      </c>
      <c r="D10" s="7">
        <v>0.4</v>
      </c>
      <c r="E10" s="7">
        <v>0.25</v>
      </c>
      <c r="F10" s="7">
        <v>0.35</v>
      </c>
      <c r="G10" s="7">
        <v>1</v>
      </c>
      <c r="H10" s="1">
        <v>4.5</v>
      </c>
      <c r="I10" s="27">
        <f t="shared" si="0"/>
        <v>4.7</v>
      </c>
      <c r="J10" s="31">
        <f>ROUND(IF(OR(G10=0, VALUE(LEFT(B10,1))&gt;2), 0, I10 + _xlfn.XLOOKUP(VALUE(LEFT(B10,1)), '1.2.1.5 Bảng tham chiếu &amp; tk'!$E$4:$E$6, '1.2.1.5 Bảng tham chiếu &amp; tk'!$G$4:$G$6, 0)), 1)</f>
        <v>4.7</v>
      </c>
      <c r="K10" s="31" t="str" cm="1">
        <f t="array" ref="K10">_xlfn.IFS(J10&gt;=9, "A", J10&gt;=8, "B+", J10&gt;=7, "B", J10&gt;=6.5, "C+", J10&gt;=5.5, "C", J10&gt;=5, "D+", J10&gt;=4, "D", TRUE, "F")</f>
        <v>D</v>
      </c>
    </row>
    <row r="11" spans="1:11" ht="15.75">
      <c r="A11" s="27">
        <v>5</v>
      </c>
      <c r="B11" s="7" t="s">
        <v>29</v>
      </c>
      <c r="C11" s="1" t="s">
        <v>30</v>
      </c>
      <c r="D11" s="7">
        <v>0.45</v>
      </c>
      <c r="E11" s="7">
        <v>0.4</v>
      </c>
      <c r="F11" s="7">
        <v>0.35</v>
      </c>
      <c r="G11" s="7">
        <v>0.75</v>
      </c>
      <c r="H11" s="1">
        <v>5.5</v>
      </c>
      <c r="I11" s="27">
        <f t="shared" si="0"/>
        <v>5.3</v>
      </c>
      <c r="J11" s="31">
        <f>ROUND(IF(OR(G11=0, VALUE(LEFT(B11,1))&gt;2), 0, I11 + _xlfn.XLOOKUP(VALUE(LEFT(B11,1)), '1.2.1.5 Bảng tham chiếu &amp; tk'!$E$4:$E$6, '1.2.1.5 Bảng tham chiếu &amp; tk'!$G$4:$G$6, 0)), 1)</f>
        <v>5.3</v>
      </c>
      <c r="K11" s="31" t="str" cm="1">
        <f t="array" ref="K11">_xlfn.IFS(J11&gt;=9, "A", J11&gt;=8, "B+", J11&gt;=7, "B", J11&gt;=6.5, "C+", J11&gt;=5.5, "C", J11&gt;=5, "D+", J11&gt;=4, "D", TRUE, "F")</f>
        <v>D+</v>
      </c>
    </row>
    <row r="12" spans="1:11" ht="15.75">
      <c r="A12" s="27">
        <v>6</v>
      </c>
      <c r="B12" s="7" t="s">
        <v>31</v>
      </c>
      <c r="C12" s="1" t="s">
        <v>32</v>
      </c>
      <c r="D12" s="7">
        <v>0.4</v>
      </c>
      <c r="E12" s="7">
        <v>0.45</v>
      </c>
      <c r="F12" s="7">
        <v>0.5</v>
      </c>
      <c r="G12" s="7">
        <v>1.2</v>
      </c>
      <c r="H12" s="1">
        <v>7.5</v>
      </c>
      <c r="I12" s="27">
        <f t="shared" si="0"/>
        <v>7.1</v>
      </c>
      <c r="J12" s="31">
        <f>ROUND(IF(OR(G12=0, VALUE(LEFT(B12,1))&gt;2), 0, I12 + _xlfn.XLOOKUP(VALUE(LEFT(B12,1)), '1.2.1.5 Bảng tham chiếu &amp; tk'!$E$4:$E$6, '1.2.1.5 Bảng tham chiếu &amp; tk'!$G$4:$G$6, 0)), 1)</f>
        <v>7.1</v>
      </c>
      <c r="K12" s="31" t="str" cm="1">
        <f t="array" ref="K12">_xlfn.IFS(J12&gt;=9, "A", J12&gt;=8, "B+", J12&gt;=7, "B", J12&gt;=6.5, "C+", J12&gt;=5.5, "C", J12&gt;=5, "D+", J12&gt;=4, "D", TRUE, "F")</f>
        <v>B</v>
      </c>
    </row>
    <row r="13" spans="1:11" ht="15.75">
      <c r="A13" s="27">
        <v>7</v>
      </c>
      <c r="B13" s="7" t="s">
        <v>33</v>
      </c>
      <c r="C13" s="1" t="s">
        <v>34</v>
      </c>
      <c r="D13" s="7">
        <v>0.4</v>
      </c>
      <c r="E13" s="7">
        <v>0.4</v>
      </c>
      <c r="F13" s="7">
        <v>0.4</v>
      </c>
      <c r="G13" s="7">
        <v>1</v>
      </c>
      <c r="H13" s="1">
        <v>5.3</v>
      </c>
      <c r="I13" s="27">
        <f t="shared" si="0"/>
        <v>5.4</v>
      </c>
      <c r="J13" s="31">
        <f>ROUND(IF(OR(G13=0, VALUE(LEFT(B13,1))&gt;2), 0, I13 + _xlfn.XLOOKUP(VALUE(LEFT(B13,1)), '1.2.1.5 Bảng tham chiếu &amp; tk'!$E$4:$E$6, '1.2.1.5 Bảng tham chiếu &amp; tk'!$G$4:$G$6, 0)), 1)</f>
        <v>5.4</v>
      </c>
      <c r="K13" s="31" t="str" cm="1">
        <f t="array" ref="K13">_xlfn.IFS(J13&gt;=9, "A", J13&gt;=8, "B+", J13&gt;=7, "B", J13&gt;=6.5, "C+", J13&gt;=5.5, "C", J13&gt;=5, "D+", J13&gt;=4, "D", TRUE, "F")</f>
        <v>D+</v>
      </c>
    </row>
    <row r="14" spans="1:11" ht="15.75">
      <c r="A14" s="27">
        <v>8</v>
      </c>
      <c r="B14" s="7" t="s">
        <v>35</v>
      </c>
      <c r="C14" s="1" t="s">
        <v>36</v>
      </c>
      <c r="D14" s="7">
        <v>0.45</v>
      </c>
      <c r="E14" s="7">
        <v>0.4</v>
      </c>
      <c r="F14" s="7">
        <v>0.45</v>
      </c>
      <c r="G14" s="7">
        <v>0</v>
      </c>
      <c r="H14" s="1">
        <v>6.8</v>
      </c>
      <c r="I14" s="27">
        <f t="shared" si="0"/>
        <v>5.4</v>
      </c>
      <c r="J14" s="31">
        <f>ROUND(IF(OR(G14=0, VALUE(LEFT(B14,1))&gt;2), 0, I14 + _xlfn.XLOOKUP(VALUE(LEFT(B14,1)), '1.2.1.5 Bảng tham chiếu &amp; tk'!$E$4:$E$6, '1.2.1.5 Bảng tham chiếu &amp; tk'!$G$4:$G$6, 0)), 1)</f>
        <v>0</v>
      </c>
      <c r="K14" s="31" t="str" cm="1">
        <f t="array" ref="K14">_xlfn.IFS(J14&gt;=9, "A", J14&gt;=8, "B+", J14&gt;=7, "B", J14&gt;=6.5, "C+", J14&gt;=5.5, "C", J14&gt;=5, "D+", J14&gt;=4, "D", TRUE, "F")</f>
        <v>F</v>
      </c>
    </row>
    <row r="15" spans="1:11" ht="15.75">
      <c r="A15" s="27">
        <v>9</v>
      </c>
      <c r="B15" s="7" t="s">
        <v>37</v>
      </c>
      <c r="C15" s="1" t="s">
        <v>38</v>
      </c>
      <c r="D15" s="7">
        <v>0.45</v>
      </c>
      <c r="E15" s="7">
        <v>0.4</v>
      </c>
      <c r="F15" s="7">
        <v>0.4</v>
      </c>
      <c r="G15" s="7">
        <v>0.75</v>
      </c>
      <c r="H15" s="1">
        <v>6.3</v>
      </c>
      <c r="I15" s="27">
        <f t="shared" si="0"/>
        <v>5.8</v>
      </c>
      <c r="J15" s="31">
        <f>ROUND(IF(OR(G15=0, VALUE(LEFT(B15,1))&gt;2), 0, I15 + _xlfn.XLOOKUP(VALUE(LEFT(B15,1)), '1.2.1.5 Bảng tham chiếu &amp; tk'!$E$4:$E$6, '1.2.1.5 Bảng tham chiếu &amp; tk'!$G$4:$G$6, 0)), 1)</f>
        <v>5.8</v>
      </c>
      <c r="K15" s="31" t="str" cm="1">
        <f t="array" ref="K15">_xlfn.IFS(J15&gt;=9, "A", J15&gt;=8, "B+", J15&gt;=7, "B", J15&gt;=6.5, "C+", J15&gt;=5.5, "C", J15&gt;=5, "D+", J15&gt;=4, "D", TRUE, "F")</f>
        <v>C</v>
      </c>
    </row>
    <row r="16" spans="1:11" ht="15.75">
      <c r="A16" s="27">
        <v>10</v>
      </c>
      <c r="B16" s="14" t="s">
        <v>39</v>
      </c>
      <c r="C16" s="1" t="s">
        <v>40</v>
      </c>
      <c r="D16" s="7">
        <v>0.3</v>
      </c>
      <c r="E16" s="7">
        <v>0.5</v>
      </c>
      <c r="F16" s="7">
        <v>0.45</v>
      </c>
      <c r="G16" s="7">
        <v>0.3</v>
      </c>
      <c r="H16" s="1">
        <v>8.3000000000000007</v>
      </c>
      <c r="I16" s="27">
        <f t="shared" si="0"/>
        <v>6.5</v>
      </c>
      <c r="J16" s="31">
        <f>ROUND(IF(OR(G16=0, VALUE(LEFT(B16,1))&gt;2), 0, I16 + _xlfn.XLOOKUP(VALUE(LEFT(B16,1)), '1.2.1.5 Bảng tham chiếu &amp; tk'!$E$4:$E$6, '1.2.1.5 Bảng tham chiếu &amp; tk'!$G$4:$G$6, 0)), 1)</f>
        <v>6.5</v>
      </c>
      <c r="K16" s="31" t="str" cm="1">
        <f t="array" ref="K16">_xlfn.IFS(J16&gt;=9, "A", J16&gt;=8, "B+", J16&gt;=7, "B", J16&gt;=6.5, "C+", J16&gt;=5.5, "C", J16&gt;=5, "D+", J16&gt;=4, "D", TRUE, "F")</f>
        <v>C+</v>
      </c>
    </row>
    <row r="17" spans="1:11" ht="15.75">
      <c r="A17" s="27">
        <v>11</v>
      </c>
      <c r="B17" s="7" t="s">
        <v>41</v>
      </c>
      <c r="C17" s="1" t="s">
        <v>42</v>
      </c>
      <c r="D17" s="7">
        <v>0.4</v>
      </c>
      <c r="E17" s="7">
        <v>0.45</v>
      </c>
      <c r="F17" s="7">
        <v>0.4</v>
      </c>
      <c r="G17" s="7">
        <v>0.3</v>
      </c>
      <c r="H17" s="1">
        <v>-3</v>
      </c>
      <c r="I17" s="27">
        <f t="shared" si="0"/>
        <v>0</v>
      </c>
      <c r="J17" s="31">
        <f>ROUND(IF(OR(G17=0, VALUE(LEFT(B17,1))&gt;2), 0, I17 + _xlfn.XLOOKUP(VALUE(LEFT(B17,1)), '1.2.1.5 Bảng tham chiếu &amp; tk'!$E$4:$E$6, '1.2.1.5 Bảng tham chiếu &amp; tk'!$G$4:$G$6, 0)), 1)</f>
        <v>0</v>
      </c>
      <c r="K17" s="31" t="str" cm="1">
        <f t="array" ref="K17">_xlfn.IFS(J17&gt;=9, "A", J17&gt;=8, "B+", J17&gt;=7, "B", J17&gt;=6.5, "C+", J17&gt;=5.5, "C", J17&gt;=5, "D+", J17&gt;=4, "D", TRUE, "F")</f>
        <v>F</v>
      </c>
    </row>
    <row r="18" spans="1:11" ht="15.75">
      <c r="A18" s="27">
        <v>12</v>
      </c>
      <c r="B18" s="7" t="s">
        <v>43</v>
      </c>
      <c r="C18" s="1" t="s">
        <v>44</v>
      </c>
      <c r="D18" s="7">
        <v>0.5</v>
      </c>
      <c r="E18" s="7">
        <v>0.5</v>
      </c>
      <c r="F18" s="7">
        <v>0.45</v>
      </c>
      <c r="G18" s="7">
        <v>1.5</v>
      </c>
      <c r="H18" s="1">
        <v>7</v>
      </c>
      <c r="I18" s="27">
        <f t="shared" si="0"/>
        <v>7.2</v>
      </c>
      <c r="J18" s="31">
        <f>ROUND(IF(OR(G18=0, VALUE(LEFT(B18,1))&gt;2), 0, I18 + _xlfn.XLOOKUP(VALUE(LEFT(B18,1)), '1.2.1.5 Bảng tham chiếu &amp; tk'!$E$4:$E$6, '1.2.1.5 Bảng tham chiếu &amp; tk'!$G$4:$G$6, 0)), 1)</f>
        <v>7.2</v>
      </c>
      <c r="K18" s="31" t="str" cm="1">
        <f t="array" ref="K18">_xlfn.IFS(J18&gt;=9, "A", J18&gt;=8, "B+", J18&gt;=7, "B", J18&gt;=6.5, "C+", J18&gt;=5.5, "C", J18&gt;=5, "D+", J18&gt;=4, "D", TRUE, "F")</f>
        <v>B</v>
      </c>
    </row>
    <row r="19" spans="1:11" ht="15.75">
      <c r="A19" s="27">
        <v>13</v>
      </c>
      <c r="B19" s="7" t="s">
        <v>45</v>
      </c>
      <c r="C19" s="1" t="s">
        <v>46</v>
      </c>
      <c r="D19" s="7">
        <v>0.4</v>
      </c>
      <c r="E19" s="7">
        <v>0.4</v>
      </c>
      <c r="F19" s="7">
        <v>0.35</v>
      </c>
      <c r="G19" s="7">
        <v>1.35</v>
      </c>
      <c r="H19" s="1">
        <v>-3</v>
      </c>
      <c r="I19" s="27">
        <f t="shared" si="0"/>
        <v>0</v>
      </c>
      <c r="J19" s="31">
        <f>ROUND(IF(OR(G19=0, VALUE(LEFT(B19,1))&gt;2), 0, I19 + _xlfn.XLOOKUP(VALUE(LEFT(B19,1)), '1.2.1.5 Bảng tham chiếu &amp; tk'!$E$4:$E$6, '1.2.1.5 Bảng tham chiếu &amp; tk'!$G$4:$G$6, 0)), 1)</f>
        <v>0</v>
      </c>
      <c r="K19" s="31" t="str" cm="1">
        <f t="array" ref="K19">_xlfn.IFS(J19&gt;=9, "A", J19&gt;=8, "B+", J19&gt;=7, "B", J19&gt;=6.5, "C+", J19&gt;=5.5, "C", J19&gt;=5, "D+", J19&gt;=4, "D", TRUE, "F")</f>
        <v>F</v>
      </c>
    </row>
    <row r="20" spans="1:11" ht="15.75">
      <c r="A20" s="27">
        <v>14</v>
      </c>
      <c r="B20" s="7" t="s">
        <v>47</v>
      </c>
      <c r="C20" s="1" t="s">
        <v>48</v>
      </c>
      <c r="D20" s="8">
        <v>0.35</v>
      </c>
      <c r="E20" s="7">
        <v>0.4</v>
      </c>
      <c r="F20" s="7">
        <v>0</v>
      </c>
      <c r="G20" s="7">
        <v>0.85</v>
      </c>
      <c r="H20" s="1">
        <v>6.5</v>
      </c>
      <c r="I20" s="27">
        <f t="shared" si="0"/>
        <v>5.5</v>
      </c>
      <c r="J20" s="31">
        <f>ROUND(IF(OR(G20=0, VALUE(LEFT(B20,1))&gt;2), 0, I20 + _xlfn.XLOOKUP(VALUE(LEFT(B20,1)), '1.2.1.5 Bảng tham chiếu &amp; tk'!$E$4:$E$6, '1.2.1.5 Bảng tham chiếu &amp; tk'!$G$4:$G$6, 0)), 1)</f>
        <v>5.5</v>
      </c>
      <c r="K20" s="31" t="str" cm="1">
        <f t="array" ref="K20">_xlfn.IFS(J20&gt;=9, "A", J20&gt;=8, "B+", J20&gt;=7, "B", J20&gt;=6.5, "C+", J20&gt;=5.5, "C", J20&gt;=5, "D+", J20&gt;=4, "D", TRUE, "F")</f>
        <v>C</v>
      </c>
    </row>
  </sheetData>
  <mergeCells count="7">
    <mergeCell ref="F2:H2"/>
    <mergeCell ref="F3:H3"/>
    <mergeCell ref="F4:H4"/>
    <mergeCell ref="B1:H1"/>
    <mergeCell ref="D2:E2"/>
    <mergeCell ref="D3:E3"/>
    <mergeCell ref="D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selection activeCell="C4" sqref="C4:C17"/>
    </sheetView>
  </sheetViews>
  <sheetFormatPr defaultRowHeight="15"/>
  <cols>
    <col min="1" max="1" width="6.42578125" customWidth="1"/>
    <col min="3" max="3" width="13.42578125" customWidth="1"/>
    <col min="4" max="4" width="26.140625" customWidth="1"/>
    <col min="5" max="5" width="12.42578125" customWidth="1"/>
    <col min="6" max="6" width="14.28515625" customWidth="1"/>
    <col min="7" max="7" width="13.85546875" customWidth="1"/>
  </cols>
  <sheetData>
    <row r="1" spans="1:10">
      <c r="A1" s="1"/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</row>
    <row r="2" spans="1:10">
      <c r="A2" s="7">
        <v>1</v>
      </c>
      <c r="B2" s="34" t="s">
        <v>55</v>
      </c>
      <c r="C2" s="34"/>
      <c r="D2" s="34"/>
      <c r="E2" s="34"/>
      <c r="F2" s="34"/>
      <c r="G2" s="34"/>
      <c r="J2" s="11"/>
    </row>
    <row r="3" spans="1:10">
      <c r="A3" s="7">
        <v>2</v>
      </c>
      <c r="B3" s="23" t="s">
        <v>10</v>
      </c>
      <c r="C3" s="23" t="s">
        <v>11</v>
      </c>
      <c r="D3" s="23" t="s">
        <v>12</v>
      </c>
      <c r="E3" s="23" t="s">
        <v>56</v>
      </c>
      <c r="F3" s="24" t="s">
        <v>14</v>
      </c>
      <c r="G3" s="24" t="s">
        <v>15</v>
      </c>
    </row>
    <row r="4" spans="1:10">
      <c r="A4" s="7">
        <v>3</v>
      </c>
      <c r="B4" s="7">
        <v>1</v>
      </c>
      <c r="C4" s="7" t="s">
        <v>57</v>
      </c>
      <c r="D4" s="1" t="s">
        <v>22</v>
      </c>
      <c r="E4" s="7">
        <v>0.45</v>
      </c>
      <c r="F4" s="7">
        <v>0.25</v>
      </c>
      <c r="G4" s="7">
        <v>0.3</v>
      </c>
    </row>
    <row r="5" spans="1:10">
      <c r="A5" s="7">
        <v>4</v>
      </c>
      <c r="B5" s="7">
        <v>2</v>
      </c>
      <c r="C5" s="7" t="s">
        <v>58</v>
      </c>
      <c r="D5" s="1" t="s">
        <v>24</v>
      </c>
      <c r="E5" s="7">
        <v>0.5</v>
      </c>
      <c r="F5" s="7">
        <v>0.3</v>
      </c>
      <c r="G5" s="7">
        <v>0.4</v>
      </c>
    </row>
    <row r="6" spans="1:10">
      <c r="A6" s="7">
        <v>5</v>
      </c>
      <c r="B6" s="7">
        <v>3</v>
      </c>
      <c r="C6" s="7" t="s">
        <v>59</v>
      </c>
      <c r="D6" s="1" t="s">
        <v>26</v>
      </c>
      <c r="E6" s="7">
        <v>0.25</v>
      </c>
      <c r="F6" s="7">
        <v>0.25</v>
      </c>
      <c r="G6" s="7">
        <v>0.3</v>
      </c>
    </row>
    <row r="7" spans="1:10">
      <c r="A7" s="7">
        <v>6</v>
      </c>
      <c r="B7" s="7">
        <v>4</v>
      </c>
      <c r="C7" s="7" t="s">
        <v>60</v>
      </c>
      <c r="D7" s="1" t="s">
        <v>28</v>
      </c>
      <c r="E7" s="7">
        <v>0.4</v>
      </c>
      <c r="F7" s="7">
        <v>0.25</v>
      </c>
      <c r="G7" s="7">
        <v>0.35</v>
      </c>
    </row>
    <row r="8" spans="1:10">
      <c r="A8" s="7">
        <v>7</v>
      </c>
      <c r="B8" s="7">
        <v>5</v>
      </c>
      <c r="C8" s="7" t="s">
        <v>61</v>
      </c>
      <c r="D8" s="1" t="s">
        <v>30</v>
      </c>
      <c r="E8" s="7">
        <v>0.45</v>
      </c>
      <c r="F8" s="7">
        <v>0.4</v>
      </c>
      <c r="G8" s="7">
        <v>0.35</v>
      </c>
    </row>
    <row r="9" spans="1:10">
      <c r="A9" s="7">
        <v>8</v>
      </c>
      <c r="B9" s="7">
        <v>6</v>
      </c>
      <c r="C9" s="7" t="s">
        <v>62</v>
      </c>
      <c r="D9" s="1" t="s">
        <v>32</v>
      </c>
      <c r="E9" s="7">
        <v>0.4</v>
      </c>
      <c r="F9" s="7">
        <v>0.45</v>
      </c>
      <c r="G9" s="7">
        <v>0.5</v>
      </c>
    </row>
    <row r="10" spans="1:10">
      <c r="A10" s="7">
        <v>9</v>
      </c>
      <c r="B10" s="7">
        <v>7</v>
      </c>
      <c r="C10" s="7" t="s">
        <v>63</v>
      </c>
      <c r="D10" s="1" t="s">
        <v>34</v>
      </c>
      <c r="E10" s="7">
        <v>0.4</v>
      </c>
      <c r="F10" s="7">
        <v>0.4</v>
      </c>
      <c r="G10" s="7">
        <v>0.4</v>
      </c>
    </row>
    <row r="11" spans="1:10">
      <c r="A11" s="7">
        <v>10</v>
      </c>
      <c r="B11" s="7">
        <v>8</v>
      </c>
      <c r="C11" s="7" t="s">
        <v>64</v>
      </c>
      <c r="D11" s="1" t="s">
        <v>36</v>
      </c>
      <c r="E11" s="7">
        <v>0.45</v>
      </c>
      <c r="F11" s="7">
        <v>0.4</v>
      </c>
      <c r="G11" s="7">
        <v>0.45</v>
      </c>
    </row>
    <row r="12" spans="1:10">
      <c r="A12" s="7">
        <v>11</v>
      </c>
      <c r="B12" s="7">
        <v>9</v>
      </c>
      <c r="C12" s="7" t="s">
        <v>65</v>
      </c>
      <c r="D12" s="1" t="s">
        <v>38</v>
      </c>
      <c r="E12" s="7">
        <v>0.45</v>
      </c>
      <c r="F12" s="7">
        <v>0.4</v>
      </c>
      <c r="G12" s="7">
        <v>0.4</v>
      </c>
    </row>
    <row r="13" spans="1:10">
      <c r="A13" s="7">
        <v>12</v>
      </c>
      <c r="B13" s="7">
        <v>10</v>
      </c>
      <c r="C13" s="14" t="s">
        <v>66</v>
      </c>
      <c r="D13" s="1" t="s">
        <v>40</v>
      </c>
      <c r="E13" s="7">
        <v>0.3</v>
      </c>
      <c r="F13" s="7">
        <v>0.5</v>
      </c>
      <c r="G13" s="7">
        <v>0.45</v>
      </c>
    </row>
    <row r="14" spans="1:10">
      <c r="A14" s="7">
        <v>13</v>
      </c>
      <c r="B14" s="7">
        <v>11</v>
      </c>
      <c r="C14" s="7" t="s">
        <v>67</v>
      </c>
      <c r="D14" s="1" t="s">
        <v>42</v>
      </c>
      <c r="E14" s="7">
        <v>0.4</v>
      </c>
      <c r="F14" s="7">
        <v>0.45</v>
      </c>
      <c r="G14" s="7">
        <v>0.4</v>
      </c>
    </row>
    <row r="15" spans="1:10">
      <c r="A15" s="7">
        <v>14</v>
      </c>
      <c r="B15" s="7">
        <v>12</v>
      </c>
      <c r="C15" s="7" t="s">
        <v>68</v>
      </c>
      <c r="D15" s="1" t="s">
        <v>44</v>
      </c>
      <c r="E15" s="7">
        <v>0.5</v>
      </c>
      <c r="F15" s="7">
        <v>0.5</v>
      </c>
      <c r="G15" s="7">
        <v>0.45</v>
      </c>
    </row>
    <row r="16" spans="1:10">
      <c r="A16" s="7">
        <v>15</v>
      </c>
      <c r="B16" s="7">
        <v>13</v>
      </c>
      <c r="C16" s="7" t="s">
        <v>69</v>
      </c>
      <c r="D16" s="1" t="s">
        <v>46</v>
      </c>
      <c r="E16" s="7">
        <v>0.4</v>
      </c>
      <c r="F16" s="7">
        <v>0.4</v>
      </c>
      <c r="G16" s="7">
        <v>0.35</v>
      </c>
    </row>
    <row r="17" spans="1:7">
      <c r="A17" s="7">
        <v>16</v>
      </c>
      <c r="B17" s="7">
        <v>14</v>
      </c>
      <c r="C17" s="7" t="s">
        <v>70</v>
      </c>
      <c r="D17" s="1" t="s">
        <v>48</v>
      </c>
      <c r="E17" s="8">
        <v>0.35</v>
      </c>
      <c r="F17" s="7">
        <v>0.4</v>
      </c>
      <c r="G17" s="7">
        <v>0</v>
      </c>
    </row>
  </sheetData>
  <mergeCells count="1">
    <mergeCell ref="B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E4" sqref="E4:E17"/>
    </sheetView>
  </sheetViews>
  <sheetFormatPr defaultRowHeight="15"/>
  <cols>
    <col min="3" max="3" width="15.42578125" customWidth="1"/>
    <col min="4" max="4" width="21" customWidth="1"/>
    <col min="5" max="5" width="14" customWidth="1"/>
  </cols>
  <sheetData>
    <row r="1" spans="1:5">
      <c r="A1" s="1"/>
      <c r="B1" s="1" t="s">
        <v>49</v>
      </c>
      <c r="C1" s="1" t="s">
        <v>50</v>
      </c>
      <c r="D1" s="1" t="s">
        <v>51</v>
      </c>
      <c r="E1" s="1" t="s">
        <v>52</v>
      </c>
    </row>
    <row r="2" spans="1:5">
      <c r="A2" s="7">
        <v>1</v>
      </c>
      <c r="B2" s="34" t="s">
        <v>71</v>
      </c>
      <c r="C2" s="34"/>
      <c r="D2" s="34"/>
      <c r="E2" s="34"/>
    </row>
    <row r="3" spans="1:5">
      <c r="A3" s="7">
        <v>2</v>
      </c>
      <c r="B3" s="23" t="s">
        <v>10</v>
      </c>
      <c r="C3" s="23" t="s">
        <v>11</v>
      </c>
      <c r="D3" s="23" t="s">
        <v>72</v>
      </c>
      <c r="E3" s="23" t="s">
        <v>73</v>
      </c>
    </row>
    <row r="4" spans="1:5">
      <c r="A4" s="7">
        <v>3</v>
      </c>
      <c r="B4" s="7">
        <v>1</v>
      </c>
      <c r="C4" s="7" t="s">
        <v>57</v>
      </c>
      <c r="D4" s="15" t="s">
        <v>22</v>
      </c>
      <c r="E4" s="7">
        <v>0.5</v>
      </c>
    </row>
    <row r="5" spans="1:5">
      <c r="A5" s="7">
        <v>4</v>
      </c>
      <c r="B5" s="7">
        <v>2</v>
      </c>
      <c r="C5" s="7" t="s">
        <v>58</v>
      </c>
      <c r="D5" s="4" t="s">
        <v>24</v>
      </c>
      <c r="E5" s="7">
        <v>1</v>
      </c>
    </row>
    <row r="6" spans="1:5">
      <c r="A6" s="7">
        <v>5</v>
      </c>
      <c r="B6" s="7">
        <v>3</v>
      </c>
      <c r="C6" s="7" t="s">
        <v>59</v>
      </c>
      <c r="D6" s="4" t="s">
        <v>26</v>
      </c>
      <c r="E6" s="7">
        <v>0.5</v>
      </c>
    </row>
    <row r="7" spans="1:5">
      <c r="A7" s="7">
        <v>6</v>
      </c>
      <c r="B7" s="7">
        <v>4</v>
      </c>
      <c r="C7" s="7" t="s">
        <v>60</v>
      </c>
      <c r="D7" s="4" t="s">
        <v>28</v>
      </c>
      <c r="E7" s="7">
        <v>1</v>
      </c>
    </row>
    <row r="8" spans="1:5">
      <c r="A8" s="7">
        <v>7</v>
      </c>
      <c r="B8" s="7">
        <v>5</v>
      </c>
      <c r="C8" s="7" t="s">
        <v>61</v>
      </c>
      <c r="D8" s="4" t="s">
        <v>30</v>
      </c>
      <c r="E8" s="7">
        <v>0.75</v>
      </c>
    </row>
    <row r="9" spans="1:5">
      <c r="A9" s="7">
        <v>8</v>
      </c>
      <c r="B9" s="7">
        <v>6</v>
      </c>
      <c r="C9" s="7" t="s">
        <v>62</v>
      </c>
      <c r="D9" s="4" t="s">
        <v>32</v>
      </c>
      <c r="E9" s="7">
        <v>1.2</v>
      </c>
    </row>
    <row r="10" spans="1:5">
      <c r="A10" s="7">
        <v>9</v>
      </c>
      <c r="B10" s="7">
        <v>7</v>
      </c>
      <c r="C10" s="7" t="s">
        <v>63</v>
      </c>
      <c r="D10" s="4" t="s">
        <v>34</v>
      </c>
      <c r="E10" s="7">
        <v>1</v>
      </c>
    </row>
    <row r="11" spans="1:5">
      <c r="A11" s="7">
        <v>10</v>
      </c>
      <c r="B11" s="7">
        <v>8</v>
      </c>
      <c r="C11" s="7" t="s">
        <v>64</v>
      </c>
      <c r="D11" s="4" t="s">
        <v>36</v>
      </c>
      <c r="E11" s="7">
        <v>0</v>
      </c>
    </row>
    <row r="12" spans="1:5">
      <c r="A12" s="7">
        <v>11</v>
      </c>
      <c r="B12" s="7">
        <v>9</v>
      </c>
      <c r="C12" s="7" t="s">
        <v>65</v>
      </c>
      <c r="D12" s="4" t="s">
        <v>38</v>
      </c>
      <c r="E12" s="7">
        <v>0.75</v>
      </c>
    </row>
    <row r="13" spans="1:5">
      <c r="A13" s="7">
        <v>12</v>
      </c>
      <c r="B13" s="7">
        <v>10</v>
      </c>
      <c r="C13" s="7" t="s">
        <v>66</v>
      </c>
      <c r="D13" s="4" t="s">
        <v>40</v>
      </c>
      <c r="E13" s="7">
        <v>0.3</v>
      </c>
    </row>
    <row r="14" spans="1:5">
      <c r="A14" s="7">
        <v>13</v>
      </c>
      <c r="B14" s="7">
        <v>11</v>
      </c>
      <c r="C14" s="7" t="s">
        <v>67</v>
      </c>
      <c r="D14" s="4" t="s">
        <v>42</v>
      </c>
      <c r="E14" s="7">
        <v>0.3</v>
      </c>
    </row>
    <row r="15" spans="1:5">
      <c r="A15" s="7">
        <v>14</v>
      </c>
      <c r="B15" s="7">
        <v>12</v>
      </c>
      <c r="C15" s="7" t="s">
        <v>68</v>
      </c>
      <c r="D15" s="4" t="s">
        <v>44</v>
      </c>
      <c r="E15" s="7">
        <v>1.5</v>
      </c>
    </row>
    <row r="16" spans="1:5">
      <c r="A16" s="7">
        <v>15</v>
      </c>
      <c r="B16" s="7">
        <v>13</v>
      </c>
      <c r="C16" s="7" t="s">
        <v>69</v>
      </c>
      <c r="D16" s="4" t="s">
        <v>46</v>
      </c>
      <c r="E16" s="7">
        <v>1.35</v>
      </c>
    </row>
    <row r="17" spans="1:5">
      <c r="A17" s="7">
        <v>16</v>
      </c>
      <c r="B17" s="7">
        <v>14</v>
      </c>
      <c r="C17" s="7" t="s">
        <v>70</v>
      </c>
      <c r="D17" s="4" t="s">
        <v>48</v>
      </c>
      <c r="E17" s="7">
        <v>0.85</v>
      </c>
    </row>
  </sheetData>
  <mergeCells count="1">
    <mergeCell ref="B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E4" sqref="E4:E17"/>
    </sheetView>
  </sheetViews>
  <sheetFormatPr defaultRowHeight="15"/>
  <cols>
    <col min="2" max="2" width="10.5703125" customWidth="1"/>
    <col min="3" max="3" width="12.140625" customWidth="1"/>
    <col min="4" max="4" width="19.28515625" customWidth="1"/>
    <col min="5" max="5" width="16" customWidth="1"/>
  </cols>
  <sheetData>
    <row r="1" spans="1:5">
      <c r="A1" s="1"/>
      <c r="B1" s="1" t="s">
        <v>49</v>
      </c>
      <c r="C1" s="1" t="s">
        <v>50</v>
      </c>
      <c r="D1" s="1" t="s">
        <v>51</v>
      </c>
      <c r="E1" s="1" t="s">
        <v>52</v>
      </c>
    </row>
    <row r="2" spans="1:5">
      <c r="A2" s="7">
        <v>1</v>
      </c>
      <c r="B2" s="35" t="s">
        <v>74</v>
      </c>
      <c r="C2" s="35"/>
      <c r="D2" s="35"/>
      <c r="E2" s="35"/>
    </row>
    <row r="3" spans="1:5">
      <c r="A3" s="7">
        <v>2</v>
      </c>
      <c r="B3" s="13" t="s">
        <v>10</v>
      </c>
      <c r="C3" s="13" t="s">
        <v>11</v>
      </c>
      <c r="D3" s="13" t="s">
        <v>72</v>
      </c>
      <c r="E3" s="13" t="s">
        <v>75</v>
      </c>
    </row>
    <row r="4" spans="1:5">
      <c r="A4" s="7">
        <v>3</v>
      </c>
      <c r="B4" s="7">
        <v>1</v>
      </c>
      <c r="C4" s="7" t="s">
        <v>57</v>
      </c>
      <c r="D4" s="10" t="s">
        <v>22</v>
      </c>
      <c r="E4" s="1">
        <v>4.2</v>
      </c>
    </row>
    <row r="5" spans="1:5">
      <c r="A5" s="7">
        <v>4</v>
      </c>
      <c r="B5" s="7">
        <v>2</v>
      </c>
      <c r="C5" s="7" t="s">
        <v>58</v>
      </c>
      <c r="D5" s="1" t="s">
        <v>24</v>
      </c>
      <c r="E5" s="1">
        <v>5.8</v>
      </c>
    </row>
    <row r="6" spans="1:5">
      <c r="A6" s="7">
        <v>5</v>
      </c>
      <c r="B6" s="7">
        <v>3</v>
      </c>
      <c r="C6" s="7" t="s">
        <v>59</v>
      </c>
      <c r="D6" s="1" t="s">
        <v>26</v>
      </c>
      <c r="E6" s="1">
        <v>5.8</v>
      </c>
    </row>
    <row r="7" spans="1:5">
      <c r="A7" s="7">
        <v>6</v>
      </c>
      <c r="B7" s="7">
        <v>4</v>
      </c>
      <c r="C7" s="7" t="s">
        <v>60</v>
      </c>
      <c r="D7" s="1" t="s">
        <v>28</v>
      </c>
      <c r="E7" s="1">
        <v>4.5</v>
      </c>
    </row>
    <row r="8" spans="1:5">
      <c r="A8" s="7">
        <v>7</v>
      </c>
      <c r="B8" s="7">
        <v>5</v>
      </c>
      <c r="C8" s="7" t="s">
        <v>61</v>
      </c>
      <c r="D8" s="1" t="s">
        <v>30</v>
      </c>
      <c r="E8" s="1">
        <v>5.5</v>
      </c>
    </row>
    <row r="9" spans="1:5">
      <c r="A9" s="7">
        <v>8</v>
      </c>
      <c r="B9" s="7">
        <v>6</v>
      </c>
      <c r="C9" s="7" t="s">
        <v>62</v>
      </c>
      <c r="D9" s="1" t="s">
        <v>32</v>
      </c>
      <c r="E9" s="1">
        <v>7.5</v>
      </c>
    </row>
    <row r="10" spans="1:5">
      <c r="A10" s="7">
        <v>9</v>
      </c>
      <c r="B10" s="7">
        <v>7</v>
      </c>
      <c r="C10" s="7" t="s">
        <v>63</v>
      </c>
      <c r="D10" s="1" t="s">
        <v>34</v>
      </c>
      <c r="E10" s="1">
        <v>5.3</v>
      </c>
    </row>
    <row r="11" spans="1:5">
      <c r="A11" s="7">
        <v>10</v>
      </c>
      <c r="B11" s="7">
        <v>8</v>
      </c>
      <c r="C11" s="7" t="s">
        <v>64</v>
      </c>
      <c r="D11" s="1" t="s">
        <v>36</v>
      </c>
      <c r="E11" s="1">
        <v>6.8</v>
      </c>
    </row>
    <row r="12" spans="1:5">
      <c r="A12" s="7">
        <v>11</v>
      </c>
      <c r="B12" s="7">
        <v>9</v>
      </c>
      <c r="C12" s="7" t="s">
        <v>65</v>
      </c>
      <c r="D12" s="1" t="s">
        <v>38</v>
      </c>
      <c r="E12" s="1">
        <v>6.3</v>
      </c>
    </row>
    <row r="13" spans="1:5">
      <c r="A13" s="7">
        <v>12</v>
      </c>
      <c r="B13" s="7">
        <v>10</v>
      </c>
      <c r="C13" s="7" t="s">
        <v>66</v>
      </c>
      <c r="D13" s="1" t="s">
        <v>40</v>
      </c>
      <c r="E13" s="1">
        <v>8.3000000000000007</v>
      </c>
    </row>
    <row r="14" spans="1:5">
      <c r="A14" s="7">
        <v>13</v>
      </c>
      <c r="B14" s="7">
        <v>11</v>
      </c>
      <c r="C14" s="7" t="s">
        <v>67</v>
      </c>
      <c r="D14" s="1" t="s">
        <v>42</v>
      </c>
      <c r="E14" s="1">
        <v>-3</v>
      </c>
    </row>
    <row r="15" spans="1:5">
      <c r="A15" s="7">
        <v>14</v>
      </c>
      <c r="B15" s="7">
        <v>12</v>
      </c>
      <c r="C15" s="7" t="s">
        <v>68</v>
      </c>
      <c r="D15" s="1" t="s">
        <v>44</v>
      </c>
      <c r="E15" s="1">
        <v>7</v>
      </c>
    </row>
    <row r="16" spans="1:5">
      <c r="A16" s="7">
        <v>15</v>
      </c>
      <c r="B16" s="7">
        <v>13</v>
      </c>
      <c r="C16" s="7" t="s">
        <v>69</v>
      </c>
      <c r="D16" s="1" t="s">
        <v>46</v>
      </c>
      <c r="E16" s="1">
        <v>-3</v>
      </c>
    </row>
    <row r="17" spans="1:5">
      <c r="A17" s="7">
        <v>16</v>
      </c>
      <c r="B17" s="7">
        <v>14</v>
      </c>
      <c r="C17" s="7" t="s">
        <v>70</v>
      </c>
      <c r="D17" s="1" t="s">
        <v>48</v>
      </c>
      <c r="E17" s="1">
        <v>6.5</v>
      </c>
    </row>
  </sheetData>
  <mergeCells count="1">
    <mergeCell ref="B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tabSelected="1" workbookViewId="0">
      <selection activeCell="Q20" sqref="Q20"/>
    </sheetView>
  </sheetViews>
  <sheetFormatPr defaultRowHeight="15"/>
  <cols>
    <col min="1" max="1" width="11.42578125" bestFit="1" customWidth="1"/>
    <col min="2" max="2" width="24.85546875" customWidth="1"/>
    <col min="3" max="3" width="15.85546875" customWidth="1"/>
    <col min="4" max="4" width="24.5703125" customWidth="1"/>
    <col min="5" max="5" width="6" customWidth="1"/>
    <col min="6" max="6" width="19.5703125" customWidth="1"/>
    <col min="7" max="7" width="19" customWidth="1"/>
    <col min="13" max="13" width="9.85546875" customWidth="1"/>
  </cols>
  <sheetData>
    <row r="1" spans="1:11">
      <c r="A1" s="1"/>
      <c r="B1" s="7" t="s">
        <v>49</v>
      </c>
      <c r="C1" s="7" t="s">
        <v>50</v>
      </c>
      <c r="D1" s="7" t="s">
        <v>51</v>
      </c>
      <c r="E1" s="7" t="s">
        <v>52</v>
      </c>
      <c r="F1" s="5" t="s">
        <v>53</v>
      </c>
      <c r="G1" s="7" t="s">
        <v>54</v>
      </c>
    </row>
    <row r="2" spans="1:11">
      <c r="A2" s="1">
        <v>1</v>
      </c>
      <c r="B2" s="42" t="s">
        <v>76</v>
      </c>
      <c r="C2" s="42"/>
      <c r="D2" s="42"/>
      <c r="E2" s="1"/>
      <c r="F2" s="43" t="s">
        <v>77</v>
      </c>
      <c r="G2" s="45"/>
    </row>
    <row r="3" spans="1:11">
      <c r="A3" s="1">
        <v>2</v>
      </c>
      <c r="B3" s="18" t="s">
        <v>19</v>
      </c>
      <c r="C3" s="18" t="s">
        <v>20</v>
      </c>
      <c r="D3" s="18" t="s">
        <v>78</v>
      </c>
      <c r="E3" s="1"/>
      <c r="F3" s="17" t="s">
        <v>79</v>
      </c>
      <c r="G3" s="18" t="s">
        <v>80</v>
      </c>
    </row>
    <row r="4" spans="1:11">
      <c r="A4" s="1">
        <v>3</v>
      </c>
      <c r="B4" s="20">
        <v>0</v>
      </c>
      <c r="C4" s="20" t="s">
        <v>54</v>
      </c>
      <c r="D4" s="20">
        <v>0</v>
      </c>
      <c r="E4" s="1"/>
      <c r="F4" s="5">
        <v>0</v>
      </c>
      <c r="G4" s="1">
        <v>1</v>
      </c>
      <c r="I4" s="9"/>
    </row>
    <row r="5" spans="1:11">
      <c r="A5" s="1">
        <v>4</v>
      </c>
      <c r="B5" s="20">
        <v>4</v>
      </c>
      <c r="C5" s="20" t="s">
        <v>52</v>
      </c>
      <c r="D5" s="20">
        <v>1</v>
      </c>
      <c r="E5" s="1"/>
      <c r="F5" s="16">
        <v>1</v>
      </c>
      <c r="G5" s="1">
        <v>0.5</v>
      </c>
    </row>
    <row r="6" spans="1:11">
      <c r="A6" s="1">
        <v>5</v>
      </c>
      <c r="B6" s="20">
        <v>5</v>
      </c>
      <c r="C6" s="20" t="s">
        <v>81</v>
      </c>
      <c r="D6" s="20">
        <v>1.5</v>
      </c>
      <c r="E6" s="1"/>
      <c r="F6" s="5">
        <v>2</v>
      </c>
      <c r="G6" s="1">
        <v>0.25</v>
      </c>
      <c r="I6" s="19"/>
      <c r="K6" s="9"/>
    </row>
    <row r="7" spans="1:11">
      <c r="A7" s="1">
        <v>6</v>
      </c>
      <c r="B7" s="20">
        <v>5.5</v>
      </c>
      <c r="C7" s="20" t="s">
        <v>51</v>
      </c>
      <c r="D7" s="20">
        <v>2</v>
      </c>
      <c r="E7" s="1"/>
      <c r="F7" s="6"/>
      <c r="G7" s="1"/>
    </row>
    <row r="8" spans="1:11">
      <c r="A8" s="1">
        <v>7</v>
      </c>
      <c r="B8" s="20">
        <v>6.5</v>
      </c>
      <c r="C8" s="20" t="s">
        <v>82</v>
      </c>
      <c r="D8" s="20">
        <v>2.5</v>
      </c>
      <c r="E8" s="1"/>
      <c r="F8" s="6"/>
      <c r="G8" s="1"/>
    </row>
    <row r="9" spans="1:11">
      <c r="A9" s="1">
        <v>8</v>
      </c>
      <c r="B9" s="20">
        <v>7</v>
      </c>
      <c r="C9" s="20" t="s">
        <v>50</v>
      </c>
      <c r="D9" s="20">
        <v>3</v>
      </c>
      <c r="E9" s="1"/>
      <c r="F9" s="6"/>
      <c r="G9" s="1"/>
    </row>
    <row r="10" spans="1:11">
      <c r="A10" s="1">
        <v>9</v>
      </c>
      <c r="B10" s="20">
        <v>8</v>
      </c>
      <c r="C10" s="20" t="s">
        <v>83</v>
      </c>
      <c r="D10" s="20">
        <v>3.5</v>
      </c>
      <c r="E10" s="1"/>
      <c r="F10" s="6"/>
      <c r="G10" s="1"/>
    </row>
    <row r="11" spans="1:11">
      <c r="A11" s="1">
        <v>10</v>
      </c>
      <c r="B11" s="20">
        <v>9</v>
      </c>
      <c r="C11" s="20" t="s">
        <v>49</v>
      </c>
      <c r="D11" s="20">
        <v>4</v>
      </c>
      <c r="E11" s="1"/>
      <c r="F11" s="6"/>
      <c r="G11" s="1"/>
    </row>
    <row r="12" spans="1:11">
      <c r="A12" s="1">
        <v>11</v>
      </c>
      <c r="B12" s="1"/>
      <c r="C12" s="1"/>
      <c r="D12" s="1"/>
      <c r="E12" s="1"/>
      <c r="F12" s="6"/>
      <c r="G12" s="1"/>
    </row>
    <row r="13" spans="1:11" ht="20.25" customHeight="1">
      <c r="A13" s="1">
        <v>12</v>
      </c>
      <c r="B13" s="43" t="s">
        <v>84</v>
      </c>
      <c r="C13" s="44"/>
      <c r="D13" s="45"/>
      <c r="E13" s="3"/>
      <c r="F13" s="46" t="s">
        <v>85</v>
      </c>
      <c r="G13" s="47"/>
    </row>
    <row r="14" spans="1:11" ht="28.5" customHeight="1">
      <c r="A14" s="1">
        <v>13</v>
      </c>
      <c r="B14" s="18" t="s">
        <v>10</v>
      </c>
      <c r="C14" s="18" t="s">
        <v>11</v>
      </c>
      <c r="D14" s="18" t="s">
        <v>72</v>
      </c>
      <c r="E14" s="16"/>
      <c r="F14" s="18" t="s">
        <v>20</v>
      </c>
      <c r="G14" s="18" t="s">
        <v>86</v>
      </c>
      <c r="I14" s="11"/>
    </row>
    <row r="15" spans="1:11">
      <c r="A15" s="1">
        <v>14</v>
      </c>
      <c r="B15" s="7">
        <v>1</v>
      </c>
      <c r="C15" s="7" t="s">
        <v>57</v>
      </c>
      <c r="D15" s="12" t="s">
        <v>22</v>
      </c>
      <c r="E15" s="1"/>
      <c r="F15" s="25" t="s">
        <v>49</v>
      </c>
      <c r="G15" s="2">
        <f>COUNTIF('1.2.1.1 Sheet tổng hợp điểm'!$K$7:$K$20, TRIM(F15))</f>
        <v>0</v>
      </c>
    </row>
    <row r="16" spans="1:11">
      <c r="A16" s="1">
        <v>15</v>
      </c>
      <c r="B16" s="7">
        <v>2</v>
      </c>
      <c r="C16" s="7" t="s">
        <v>58</v>
      </c>
      <c r="D16" s="1" t="s">
        <v>24</v>
      </c>
      <c r="E16" s="1"/>
      <c r="F16" s="5" t="s">
        <v>83</v>
      </c>
      <c r="G16" s="2">
        <f>COUNTIF('1.2.1.1 Sheet tổng hợp điểm'!$K$7:$K$20, TRIM(F16))</f>
        <v>0</v>
      </c>
    </row>
    <row r="17" spans="1:12">
      <c r="A17" s="1">
        <v>16</v>
      </c>
      <c r="B17" s="7">
        <v>3</v>
      </c>
      <c r="C17" s="7" t="s">
        <v>59</v>
      </c>
      <c r="D17" s="1" t="s">
        <v>26</v>
      </c>
      <c r="E17" s="1"/>
      <c r="F17" s="5" t="s">
        <v>50</v>
      </c>
      <c r="G17" s="2">
        <f>COUNTIF('1.2.1.1 Sheet tổng hợp điểm'!$K$7:$K$20, TRIM(F17))</f>
        <v>2</v>
      </c>
      <c r="L17" s="21"/>
    </row>
    <row r="18" spans="1:12">
      <c r="A18" s="1">
        <v>17</v>
      </c>
      <c r="B18" s="7">
        <v>4</v>
      </c>
      <c r="C18" s="7" t="s">
        <v>60</v>
      </c>
      <c r="D18" s="1" t="s">
        <v>28</v>
      </c>
      <c r="E18" s="1"/>
      <c r="F18" s="5" t="s">
        <v>82</v>
      </c>
      <c r="G18" s="2">
        <f>COUNTIF('1.2.1.1 Sheet tổng hợp điểm'!$K$7:$K$20, TRIM(F18))</f>
        <v>1</v>
      </c>
    </row>
    <row r="19" spans="1:12">
      <c r="A19" s="1">
        <v>18</v>
      </c>
      <c r="B19" s="7">
        <v>5</v>
      </c>
      <c r="C19" s="7" t="s">
        <v>61</v>
      </c>
      <c r="D19" s="1" t="s">
        <v>30</v>
      </c>
      <c r="E19" s="1"/>
      <c r="F19" s="5" t="s">
        <v>51</v>
      </c>
      <c r="G19" s="2">
        <f>COUNTIF('1.2.1.1 Sheet tổng hợp điểm'!$K$7:$K$20, TRIM(F19))</f>
        <v>3</v>
      </c>
    </row>
    <row r="20" spans="1:12">
      <c r="A20" s="1">
        <v>19</v>
      </c>
      <c r="B20" s="7">
        <v>6</v>
      </c>
      <c r="C20" s="7" t="s">
        <v>62</v>
      </c>
      <c r="D20" s="1" t="s">
        <v>32</v>
      </c>
      <c r="E20" s="1"/>
      <c r="F20" s="5" t="s">
        <v>81</v>
      </c>
      <c r="G20" s="2">
        <f>COUNTIF('1.2.1.1 Sheet tổng hợp điểm'!$K$7:$K$20, TRIM(F20))</f>
        <v>2</v>
      </c>
    </row>
    <row r="21" spans="1:12">
      <c r="A21" s="1">
        <v>20</v>
      </c>
      <c r="B21" s="7">
        <v>7</v>
      </c>
      <c r="C21" s="7" t="s">
        <v>63</v>
      </c>
      <c r="D21" s="1" t="s">
        <v>34</v>
      </c>
      <c r="E21" s="1"/>
      <c r="F21" s="5" t="s">
        <v>52</v>
      </c>
      <c r="G21" s="2">
        <f>COUNTIF('1.2.1.1 Sheet tổng hợp điểm'!$K$7:$K$20, TRIM(F21))</f>
        <v>3</v>
      </c>
    </row>
    <row r="22" spans="1:12">
      <c r="A22" s="1">
        <v>21</v>
      </c>
      <c r="B22" s="7">
        <v>8</v>
      </c>
      <c r="C22" s="7" t="s">
        <v>64</v>
      </c>
      <c r="D22" s="1" t="s">
        <v>36</v>
      </c>
      <c r="E22" s="1"/>
      <c r="F22" s="5" t="s">
        <v>54</v>
      </c>
      <c r="G22" s="2">
        <f>COUNTIF('1.2.1.1 Sheet tổng hợp điểm'!$K$7:$K$20, TRIM(F22))</f>
        <v>3</v>
      </c>
    </row>
    <row r="23" spans="1:12">
      <c r="A23" s="1">
        <v>22</v>
      </c>
      <c r="B23" s="7">
        <v>9</v>
      </c>
      <c r="C23" s="7" t="s">
        <v>65</v>
      </c>
      <c r="D23" s="1" t="s">
        <v>38</v>
      </c>
      <c r="E23" s="1"/>
      <c r="F23" s="6"/>
      <c r="G23" s="1"/>
    </row>
    <row r="24" spans="1:12">
      <c r="A24" s="1">
        <v>23</v>
      </c>
      <c r="B24" s="7">
        <v>10</v>
      </c>
      <c r="C24" s="7" t="s">
        <v>66</v>
      </c>
      <c r="D24" s="1" t="s">
        <v>40</v>
      </c>
      <c r="E24" s="1"/>
      <c r="F24" s="48" t="s">
        <v>87</v>
      </c>
      <c r="G24" s="49"/>
    </row>
    <row r="25" spans="1:12">
      <c r="A25" s="1">
        <v>24</v>
      </c>
      <c r="B25" s="7">
        <v>11</v>
      </c>
      <c r="C25" s="7" t="s">
        <v>67</v>
      </c>
      <c r="D25" s="1" t="s">
        <v>42</v>
      </c>
      <c r="E25" s="1"/>
      <c r="F25" s="36" t="s">
        <v>88</v>
      </c>
      <c r="G25" s="39">
        <f>COUNTIF('1.2.1.1 Sheet tổng hợp điểm'!G7:G20, 0) + COUNTIF('1.2.1.1 Sheet tổng hợp điểm'!H7:H20, -3)</f>
        <v>3</v>
      </c>
    </row>
    <row r="26" spans="1:12">
      <c r="A26" s="1">
        <v>25</v>
      </c>
      <c r="B26" s="7">
        <v>12</v>
      </c>
      <c r="C26" s="7" t="s">
        <v>68</v>
      </c>
      <c r="D26" s="1" t="s">
        <v>44</v>
      </c>
      <c r="E26" s="1"/>
      <c r="F26" s="37"/>
      <c r="G26" s="40"/>
    </row>
    <row r="27" spans="1:12">
      <c r="A27" s="1">
        <v>26</v>
      </c>
      <c r="B27" s="7">
        <v>13</v>
      </c>
      <c r="C27" s="7" t="s">
        <v>69</v>
      </c>
      <c r="D27" s="1" t="s">
        <v>46</v>
      </c>
      <c r="E27" s="1"/>
      <c r="F27" s="38"/>
      <c r="G27" s="41"/>
    </row>
    <row r="28" spans="1:12">
      <c r="A28" s="1">
        <v>27</v>
      </c>
      <c r="B28" s="7">
        <v>14</v>
      </c>
      <c r="C28" s="7" t="s">
        <v>70</v>
      </c>
      <c r="D28" s="1" t="s">
        <v>48</v>
      </c>
      <c r="E28" s="1"/>
      <c r="F28" s="22" t="s">
        <v>89</v>
      </c>
      <c r="G28" s="7">
        <f>COUNTIF('1.2.1.1 Sheet tổng hợp điểm'!K7:K20, "B+") + COUNTIF('1.2.1.1 Sheet tổng hợp điểm'!K7:K20, "A")</f>
        <v>0</v>
      </c>
    </row>
  </sheetData>
  <mergeCells count="7">
    <mergeCell ref="F25:F27"/>
    <mergeCell ref="G25:G27"/>
    <mergeCell ref="B2:D2"/>
    <mergeCell ref="B13:D13"/>
    <mergeCell ref="F13:G13"/>
    <mergeCell ref="F2:G2"/>
    <mergeCell ref="F24:G2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4"/>
  <sheetViews>
    <sheetView workbookViewId="0">
      <selection activeCell="H18" sqref="H18"/>
    </sheetView>
  </sheetViews>
  <sheetFormatPr defaultColWidth="19" defaultRowHeight="15"/>
  <sheetData>
    <row r="2" spans="1:11" ht="54" customHeight="1">
      <c r="A2" s="29" t="s">
        <v>10</v>
      </c>
      <c r="B2" s="30" t="s">
        <v>11</v>
      </c>
      <c r="C2" s="30" t="s">
        <v>12</v>
      </c>
      <c r="D2" s="30" t="s">
        <v>13</v>
      </c>
      <c r="E2" s="30" t="s">
        <v>14</v>
      </c>
      <c r="F2" s="30" t="s">
        <v>15</v>
      </c>
      <c r="G2" s="30" t="s">
        <v>16</v>
      </c>
      <c r="H2" s="30" t="s">
        <v>17</v>
      </c>
      <c r="I2" s="30" t="s">
        <v>18</v>
      </c>
      <c r="J2" s="30" t="s">
        <v>19</v>
      </c>
      <c r="K2" s="30" t="s">
        <v>20</v>
      </c>
    </row>
    <row r="3" spans="1:11">
      <c r="A3" s="26" cm="1">
        <f t="array" ref="A3:K14">_xlfn._xlws.FILTER('1.2.1.1 Sheet tổng hợp điểm'!A7:K20, '1.2.1.1 Sheet tổng hợp điểm'!J7:J20 &lt; 7)</f>
        <v>1</v>
      </c>
      <c r="B3" t="str">
        <v>0B1505719</v>
      </c>
      <c r="C3" t="str">
        <v>Nguyễn Văn Hiếu</v>
      </c>
      <c r="D3">
        <v>0.45</v>
      </c>
      <c r="E3">
        <v>0.25</v>
      </c>
      <c r="F3">
        <v>0.3</v>
      </c>
      <c r="G3">
        <v>0.5</v>
      </c>
      <c r="H3">
        <v>4.2</v>
      </c>
      <c r="I3">
        <v>4</v>
      </c>
      <c r="J3">
        <v>4</v>
      </c>
      <c r="K3" t="str">
        <v>D</v>
      </c>
    </row>
    <row r="4" spans="1:11">
      <c r="A4" s="26">
        <v>2</v>
      </c>
      <c r="B4" t="str">
        <v>1B1505915</v>
      </c>
      <c r="C4" t="str">
        <v>Lý Minh Trí</v>
      </c>
      <c r="D4">
        <v>0.5</v>
      </c>
      <c r="E4">
        <v>0.3</v>
      </c>
      <c r="F4">
        <v>0.4</v>
      </c>
      <c r="G4">
        <v>1</v>
      </c>
      <c r="H4">
        <v>5.8</v>
      </c>
      <c r="I4">
        <v>5.7</v>
      </c>
      <c r="J4">
        <v>5.7</v>
      </c>
      <c r="K4" t="str">
        <v>C</v>
      </c>
    </row>
    <row r="5" spans="1:11">
      <c r="A5" s="26">
        <v>3</v>
      </c>
      <c r="B5" t="str">
        <v>0B1509874</v>
      </c>
      <c r="C5" t="str">
        <v>Nguyễn Kiều Mi</v>
      </c>
      <c r="D5">
        <v>0.25</v>
      </c>
      <c r="E5">
        <v>0.25</v>
      </c>
      <c r="F5">
        <v>0.3</v>
      </c>
      <c r="G5">
        <v>0.5</v>
      </c>
      <c r="H5">
        <v>5.8</v>
      </c>
      <c r="I5">
        <v>4.8</v>
      </c>
      <c r="J5">
        <v>4.8</v>
      </c>
      <c r="K5" t="str">
        <v>D</v>
      </c>
    </row>
    <row r="6" spans="1:11">
      <c r="A6" s="26">
        <v>4</v>
      </c>
      <c r="B6" t="str">
        <v>0B1509929</v>
      </c>
      <c r="C6" t="str">
        <v>Đặng Duy Linh</v>
      </c>
      <c r="D6">
        <v>0.4</v>
      </c>
      <c r="E6">
        <v>0.25</v>
      </c>
      <c r="F6">
        <v>0.35</v>
      </c>
      <c r="G6">
        <v>1</v>
      </c>
      <c r="H6">
        <v>4.5</v>
      </c>
      <c r="I6">
        <v>4.7</v>
      </c>
      <c r="J6">
        <v>4.7</v>
      </c>
      <c r="K6" t="str">
        <v>D</v>
      </c>
    </row>
    <row r="7" spans="1:11">
      <c r="A7" s="26">
        <v>5</v>
      </c>
      <c r="B7" t="str">
        <v>2B1605223</v>
      </c>
      <c r="C7" t="str">
        <v>Lê Thị Trúc Linh</v>
      </c>
      <c r="D7">
        <v>0.45</v>
      </c>
      <c r="E7">
        <v>0.4</v>
      </c>
      <c r="F7">
        <v>0.35</v>
      </c>
      <c r="G7">
        <v>0.75</v>
      </c>
      <c r="H7">
        <v>5.5</v>
      </c>
      <c r="I7">
        <v>5.3</v>
      </c>
      <c r="J7">
        <v>5.3</v>
      </c>
      <c r="K7" t="str">
        <v>D+</v>
      </c>
    </row>
    <row r="8" spans="1:11">
      <c r="A8" s="26">
        <v>7</v>
      </c>
      <c r="B8" t="str">
        <v>0B1605249</v>
      </c>
      <c r="C8" t="str">
        <v xml:space="preserve">Lê Minh Thông </v>
      </c>
      <c r="D8">
        <v>0.4</v>
      </c>
      <c r="E8">
        <v>0.4</v>
      </c>
      <c r="F8">
        <v>0.4</v>
      </c>
      <c r="G8">
        <v>1</v>
      </c>
      <c r="H8">
        <v>5.3</v>
      </c>
      <c r="I8">
        <v>5.4</v>
      </c>
      <c r="J8">
        <v>5.4</v>
      </c>
      <c r="K8" t="str">
        <v>D+</v>
      </c>
    </row>
    <row r="9" spans="1:11">
      <c r="A9" s="26">
        <v>8</v>
      </c>
      <c r="B9" t="str">
        <v>0B1605285</v>
      </c>
      <c r="C9" t="str">
        <v xml:space="preserve">Huỳnh Thị Diễm </v>
      </c>
      <c r="D9">
        <v>0.45</v>
      </c>
      <c r="E9">
        <v>0.4</v>
      </c>
      <c r="F9">
        <v>0.45</v>
      </c>
      <c r="G9">
        <v>0</v>
      </c>
      <c r="H9">
        <v>6.8</v>
      </c>
      <c r="I9">
        <v>5.4</v>
      </c>
      <c r="J9">
        <v>0</v>
      </c>
      <c r="K9" t="str">
        <v>F</v>
      </c>
    </row>
    <row r="10" spans="1:11">
      <c r="A10" s="26">
        <v>9</v>
      </c>
      <c r="B10" t="str">
        <v>0B1605291</v>
      </c>
      <c r="C10" t="str">
        <v>Trần Thanh Nguyên</v>
      </c>
      <c r="D10">
        <v>0.45</v>
      </c>
      <c r="E10">
        <v>0.4</v>
      </c>
      <c r="F10">
        <v>0.4</v>
      </c>
      <c r="G10">
        <v>0.75</v>
      </c>
      <c r="H10">
        <v>6.3</v>
      </c>
      <c r="I10">
        <v>5.8</v>
      </c>
      <c r="J10">
        <v>5.8</v>
      </c>
      <c r="K10" t="str">
        <v>C</v>
      </c>
    </row>
    <row r="11" spans="1:11">
      <c r="A11" s="26">
        <v>10</v>
      </c>
      <c r="B11" t="str">
        <v>1B1605344</v>
      </c>
      <c r="C11" t="str">
        <v>Nguyễn Thị Đào</v>
      </c>
      <c r="D11">
        <v>0.3</v>
      </c>
      <c r="E11">
        <v>0.5</v>
      </c>
      <c r="F11">
        <v>0.45</v>
      </c>
      <c r="G11">
        <v>0.3</v>
      </c>
      <c r="H11">
        <v>8.3000000000000007</v>
      </c>
      <c r="I11">
        <v>6.5</v>
      </c>
      <c r="J11">
        <v>6.5</v>
      </c>
      <c r="K11" t="str">
        <v>C+</v>
      </c>
    </row>
    <row r="12" spans="1:11">
      <c r="A12" s="26">
        <v>11</v>
      </c>
      <c r="B12" t="str">
        <v>4B1607025</v>
      </c>
      <c r="C12" t="str">
        <v>Nguyễn Chí Thanh</v>
      </c>
      <c r="D12">
        <v>0.4</v>
      </c>
      <c r="E12">
        <v>0.45</v>
      </c>
      <c r="F12">
        <v>0.4</v>
      </c>
      <c r="G12">
        <v>0.3</v>
      </c>
      <c r="H12">
        <v>-3</v>
      </c>
      <c r="I12">
        <v>0</v>
      </c>
      <c r="J12">
        <v>0</v>
      </c>
      <c r="K12" t="str">
        <v>F</v>
      </c>
    </row>
    <row r="13" spans="1:11">
      <c r="A13" s="26">
        <v>13</v>
      </c>
      <c r="B13" t="str">
        <v>5B1609765</v>
      </c>
      <c r="C13" t="str">
        <v>Trần Nam Dương</v>
      </c>
      <c r="D13">
        <v>0.4</v>
      </c>
      <c r="E13">
        <v>0.4</v>
      </c>
      <c r="F13">
        <v>0.35</v>
      </c>
      <c r="G13">
        <v>1.35</v>
      </c>
      <c r="H13">
        <v>-3</v>
      </c>
      <c r="I13">
        <v>0</v>
      </c>
      <c r="J13">
        <v>0</v>
      </c>
      <c r="K13" t="str">
        <v>F</v>
      </c>
    </row>
    <row r="14" spans="1:11">
      <c r="A14" s="26">
        <v>14</v>
      </c>
      <c r="B14" t="str">
        <v>0B1609773</v>
      </c>
      <c r="C14" t="str">
        <v>Nguyễn Duy Khanh</v>
      </c>
      <c r="D14">
        <v>0.35</v>
      </c>
      <c r="E14">
        <v>0.4</v>
      </c>
      <c r="F14">
        <v>0</v>
      </c>
      <c r="G14">
        <v>0.85</v>
      </c>
      <c r="H14">
        <v>6.5</v>
      </c>
      <c r="I14">
        <v>5.5</v>
      </c>
      <c r="J14">
        <v>5.5</v>
      </c>
      <c r="K14" t="str">
        <v>C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6"/>
  <sheetViews>
    <sheetView workbookViewId="0">
      <selection activeCell="C8" sqref="C8"/>
    </sheetView>
  </sheetViews>
  <sheetFormatPr defaultColWidth="16.28515625" defaultRowHeight="15"/>
  <sheetData>
    <row r="2" spans="1:11" ht="66" customHeight="1">
      <c r="A2" s="29" t="s">
        <v>10</v>
      </c>
      <c r="B2" s="30" t="s">
        <v>11</v>
      </c>
      <c r="C2" s="30" t="s">
        <v>12</v>
      </c>
      <c r="D2" s="30" t="s">
        <v>13</v>
      </c>
      <c r="E2" s="30" t="s">
        <v>14</v>
      </c>
      <c r="F2" s="30" t="s">
        <v>15</v>
      </c>
      <c r="G2" s="30" t="s">
        <v>16</v>
      </c>
      <c r="H2" s="30" t="s">
        <v>17</v>
      </c>
      <c r="I2" s="30" t="s">
        <v>18</v>
      </c>
      <c r="J2" s="30" t="s">
        <v>19</v>
      </c>
      <c r="K2" s="30" t="s">
        <v>20</v>
      </c>
    </row>
    <row r="3" spans="1:11">
      <c r="A3" s="26" cm="1">
        <f t="array" ref="A3:K4">_xlfn._xlws.FILTER('1.2.1.1 Sheet tổng hợp điểm'!A7:K20, VALUE('1.2.1.1 Sheet tổng hợp điểm'!J7:J20)&gt;=7)</f>
        <v>6</v>
      </c>
      <c r="B3" t="str">
        <v>0B1605235</v>
      </c>
      <c r="C3" t="str">
        <v>Phạm THị Huỳnh</v>
      </c>
      <c r="D3">
        <v>0.4</v>
      </c>
      <c r="E3">
        <v>0.45</v>
      </c>
      <c r="F3">
        <v>0.5</v>
      </c>
      <c r="G3">
        <v>1.2</v>
      </c>
      <c r="H3">
        <v>7.5</v>
      </c>
      <c r="I3">
        <v>7.1</v>
      </c>
      <c r="J3">
        <v>7.1</v>
      </c>
      <c r="K3" t="str">
        <v>B</v>
      </c>
    </row>
    <row r="4" spans="1:11">
      <c r="A4" s="26">
        <v>12</v>
      </c>
      <c r="B4" t="str">
        <v>2B1609759</v>
      </c>
      <c r="C4" t="str">
        <v>Nguyễn Hải Anh</v>
      </c>
      <c r="D4">
        <v>0.5</v>
      </c>
      <c r="E4">
        <v>0.5</v>
      </c>
      <c r="F4">
        <v>0.45</v>
      </c>
      <c r="G4">
        <v>1.5</v>
      </c>
      <c r="H4">
        <v>7</v>
      </c>
      <c r="I4">
        <v>7.2</v>
      </c>
      <c r="J4">
        <v>7.2</v>
      </c>
      <c r="K4" t="str">
        <v>B</v>
      </c>
    </row>
    <row r="5" spans="1:11">
      <c r="A5" s="26"/>
    </row>
    <row r="6" spans="1:11">
      <c r="A6" s="26"/>
    </row>
    <row r="7" spans="1:11">
      <c r="A7" s="26"/>
    </row>
    <row r="8" spans="1:11">
      <c r="A8" s="26"/>
    </row>
    <row r="9" spans="1:11">
      <c r="A9" s="26"/>
    </row>
    <row r="10" spans="1:11">
      <c r="A10" s="26"/>
    </row>
    <row r="11" spans="1:11">
      <c r="A11" s="26"/>
    </row>
    <row r="12" spans="1:11">
      <c r="A12" s="26"/>
    </row>
    <row r="13" spans="1:11">
      <c r="A13" s="26"/>
    </row>
    <row r="14" spans="1:11">
      <c r="A14" s="26"/>
    </row>
    <row r="15" spans="1:11">
      <c r="A15" s="26"/>
    </row>
    <row r="16" spans="1:11">
      <c r="A16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1.2.1.1 Sheet tổng hợp điểm</vt:lpstr>
      <vt:lpstr>1.2.1.2 Điểm thực hành các buổi</vt:lpstr>
      <vt:lpstr>1.2.1.3 Điểm bài tập lớn</vt:lpstr>
      <vt:lpstr>1.2.1.4 Điểm lý thuyết</vt:lpstr>
      <vt:lpstr>1.2.1.5 Bảng tham chiếu &amp; tk</vt:lpstr>
      <vt:lpstr>Sinh viên điểm&lt;7</vt:lpstr>
      <vt:lpstr>Sinh viên điểm &gt;=7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Windows User</cp:lastModifiedBy>
  <cp:revision/>
  <dcterms:created xsi:type="dcterms:W3CDTF">2026-09-21T07:14:35Z</dcterms:created>
  <dcterms:modified xsi:type="dcterms:W3CDTF">2026-09-24T06:56:55Z</dcterms:modified>
  <cp:category/>
  <cp:contentStatus/>
</cp:coreProperties>
</file>