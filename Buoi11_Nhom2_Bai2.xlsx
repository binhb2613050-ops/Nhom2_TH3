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<sst xmlns="http://schemas.openxmlformats.org/spreadsheetml/2006/main" count="154" uniqueCount="81">
  <si>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</si>
  <si>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</si>
  <si>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</si>
  <si>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</si>
  <si>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Nghanh</t>
  </si>
  <si>
    <t>Ten Nganh</t>
  </si>
  <si>
    <t>Ma MH</t>
  </si>
  <si>
    <t>Ten 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</si>
  <si>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</si>
  <si>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</si>
  <si>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</si>
  <si>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</si>
  <si>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</si>
  <si>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</si>
  <si>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</si>
  <si>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</si>
  <si>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 2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</si>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</sst>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Time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75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7480201.0</v>
      </c>
      <c r="F2" s="1" t="s">
        <v>14</v>
      </c>
      <c r="G2" s="1" t="s">
        <v>15</v>
      </c>
      <c r="H2" s="1" t="s">
        <v>16</v>
      </c>
      <c r="I2" s="1">
        <v>2.0</v>
      </c>
      <c r="J2" s="1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>
        <v>7480201.0</v>
      </c>
      <c r="F3" s="1" t="s">
        <v>14</v>
      </c>
      <c r="G3" s="1" t="s">
        <v>22</v>
      </c>
      <c r="H3" s="1" t="s">
        <v>23</v>
      </c>
      <c r="I3" s="1">
        <v>3.0</v>
      </c>
      <c r="J3" s="1" t="s">
        <v>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>
        <v>7480201.0</v>
      </c>
      <c r="F4" s="1" t="s">
        <v>14</v>
      </c>
      <c r="G4" s="1" t="s">
        <v>15</v>
      </c>
      <c r="H4" s="1" t="s">
        <v>16</v>
      </c>
      <c r="I4" s="1">
        <v>2.0</v>
      </c>
      <c r="J4" s="1" t="s">
        <v>28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29</v>
      </c>
      <c r="B5" s="1" t="s">
        <v>30</v>
      </c>
      <c r="C5" s="1" t="s">
        <v>31</v>
      </c>
      <c r="D5" s="1" t="s">
        <v>27</v>
      </c>
      <c r="E5" s="1">
        <v>7480201.0</v>
      </c>
      <c r="F5" s="1" t="s">
        <v>14</v>
      </c>
      <c r="G5" s="1" t="s">
        <v>15</v>
      </c>
      <c r="H5" s="1" t="s">
        <v>16</v>
      </c>
      <c r="I5" s="1">
        <v>2.0</v>
      </c>
      <c r="J5" s="1" t="s">
        <v>32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29</v>
      </c>
      <c r="B6" s="1" t="s">
        <v>30</v>
      </c>
      <c r="C6" s="1" t="s">
        <v>31</v>
      </c>
      <c r="D6" s="1" t="s">
        <v>27</v>
      </c>
      <c r="E6" s="1">
        <v>7480201.0</v>
      </c>
      <c r="F6" s="1" t="s">
        <v>14</v>
      </c>
      <c r="G6" s="1" t="s">
        <v>22</v>
      </c>
      <c r="H6" s="1" t="s">
        <v>23</v>
      </c>
      <c r="I6" s="1">
        <v>3.0</v>
      </c>
      <c r="J6" s="1" t="s">
        <v>33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>
        <v>7480201.0</v>
      </c>
      <c r="F7" s="1" t="s">
        <v>14</v>
      </c>
      <c r="G7" s="1" t="s">
        <v>15</v>
      </c>
      <c r="H7" s="1" t="s">
        <v>16</v>
      </c>
      <c r="I7" s="1">
        <v>2.0</v>
      </c>
      <c r="J7" s="1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38</v>
      </c>
      <c r="B8" s="1" t="s">
        <v>39</v>
      </c>
      <c r="C8" s="1" t="s">
        <v>40</v>
      </c>
      <c r="D8" s="1" t="s">
        <v>21</v>
      </c>
      <c r="E8" s="1">
        <v>7480201.0</v>
      </c>
      <c r="F8" s="1" t="s">
        <v>14</v>
      </c>
      <c r="G8" s="1" t="s">
        <v>41</v>
      </c>
      <c r="H8" s="1" t="s">
        <v>42</v>
      </c>
      <c r="I8" s="1">
        <v>4.0</v>
      </c>
      <c r="J8" s="1" t="s"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43</v>
      </c>
      <c r="B9" s="1" t="s">
        <v>44</v>
      </c>
      <c r="C9" s="1" t="s">
        <v>45</v>
      </c>
      <c r="D9" s="1" t="s">
        <v>21</v>
      </c>
      <c r="E9" s="1">
        <v>7480201.0</v>
      </c>
      <c r="F9" s="1" t="s">
        <v>14</v>
      </c>
      <c r="G9" s="1" t="s">
        <v>22</v>
      </c>
      <c r="H9" s="1" t="s">
        <v>23</v>
      </c>
      <c r="I9" s="1">
        <v>3.0</v>
      </c>
      <c r="J9" s="1" t="s">
        <v>33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>
        <v>7480201.0</v>
      </c>
      <c r="F10" s="1" t="s">
        <v>14</v>
      </c>
      <c r="G10" s="1" t="s">
        <v>22</v>
      </c>
      <c r="H10" s="1" t="s">
        <v>23</v>
      </c>
      <c r="I10" s="1">
        <v>3.0</v>
      </c>
      <c r="J10" s="1" t="s">
        <v>28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50</v>
      </c>
      <c r="B11" s="1" t="s">
        <v>51</v>
      </c>
      <c r="C11" s="1" t="s">
        <v>45</v>
      </c>
      <c r="D11" s="1" t="s">
        <v>21</v>
      </c>
      <c r="E11" s="1">
        <v>7480201.0</v>
      </c>
      <c r="F11" s="1" t="s">
        <v>14</v>
      </c>
      <c r="G11" s="1" t="s">
        <v>15</v>
      </c>
      <c r="H11" s="1" t="s">
        <v>16</v>
      </c>
      <c r="I11" s="1">
        <v>2.0</v>
      </c>
      <c r="J11" s="1" t="s">
        <v>52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53</v>
      </c>
      <c r="B12" s="1" t="s">
        <v>54</v>
      </c>
      <c r="C12" s="1" t="s">
        <v>55</v>
      </c>
      <c r="D12" s="1" t="s">
        <v>56</v>
      </c>
      <c r="E12" s="1">
        <v>7480101.0</v>
      </c>
      <c r="F12" s="1" t="s">
        <v>57</v>
      </c>
      <c r="G12" s="1" t="s">
        <v>22</v>
      </c>
      <c r="H12" s="1" t="s">
        <v>23</v>
      </c>
      <c r="I12" s="1">
        <v>3.0</v>
      </c>
      <c r="J12" s="1" t="s">
        <v>58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>
        <v>7480101.0</v>
      </c>
      <c r="F13" s="1" t="s">
        <v>57</v>
      </c>
      <c r="G13" s="1" t="s">
        <v>15</v>
      </c>
      <c r="H13" s="1" t="s">
        <v>16</v>
      </c>
      <c r="I13" s="1">
        <v>2.0</v>
      </c>
      <c r="J13" s="1" t="s">
        <v>33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63</v>
      </c>
      <c r="B14" s="1" t="s">
        <v>64</v>
      </c>
      <c r="C14" s="1" t="s">
        <v>65</v>
      </c>
      <c r="D14" s="1" t="s">
        <v>66</v>
      </c>
      <c r="E14" s="1">
        <v>7480103.0</v>
      </c>
      <c r="F14" s="1" t="s">
        <v>67</v>
      </c>
      <c r="G14" s="1" t="s">
        <v>22</v>
      </c>
      <c r="H14" s="1" t="s">
        <v>23</v>
      </c>
      <c r="I14" s="1">
        <v>3.0</v>
      </c>
      <c r="J14" s="1" t="s">
        <v>58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68</v>
      </c>
      <c r="B15" s="1" t="s">
        <v>69</v>
      </c>
      <c r="C15" s="1" t="s">
        <v>70</v>
      </c>
      <c r="D15" s="1" t="s">
        <v>71</v>
      </c>
      <c r="E15" s="1">
        <v>7480102.0</v>
      </c>
      <c r="F15" s="1" t="s">
        <v>72</v>
      </c>
      <c r="G15" s="1" t="s">
        <v>41</v>
      </c>
      <c r="H15" s="1" t="s">
        <v>42</v>
      </c>
      <c r="I15" s="1">
        <v>4.0</v>
      </c>
      <c r="J15" s="1" t="s">
        <v>33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73</v>
      </c>
      <c r="B16" s="1" t="s">
        <v>74</v>
      </c>
      <c r="C16" s="1" t="s">
        <v>45</v>
      </c>
      <c r="D16" s="1" t="s">
        <v>71</v>
      </c>
      <c r="E16" s="1">
        <v>7480102.0</v>
      </c>
      <c r="F16" s="1" t="s">
        <v>72</v>
      </c>
      <c r="G16" s="1" t="s">
        <v>22</v>
      </c>
      <c r="H16" s="1" t="s">
        <v>23</v>
      </c>
      <c r="I16" s="1">
        <v>3.0</v>
      </c>
      <c r="J16" s="1" t="s">
        <v>28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75</v>
      </c>
      <c r="B17" s="1" t="s">
        <v>76</v>
      </c>
      <c r="C17" s="1" t="s">
        <v>70</v>
      </c>
      <c r="D17" s="1" t="s">
        <v>71</v>
      </c>
      <c r="E17" s="1">
        <v>7480102.0</v>
      </c>
      <c r="F17" s="1" t="s">
        <v>72</v>
      </c>
      <c r="G17" s="1" t="s">
        <v>41</v>
      </c>
      <c r="H17" s="1" t="s">
        <v>42</v>
      </c>
      <c r="I17" s="1">
        <v>4.0</v>
      </c>
      <c r="J17" s="1" t="s">
        <v>77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78</v>
      </c>
      <c r="B18" s="1" t="s">
        <v>79</v>
      </c>
      <c r="C18" s="1" t="s">
        <v>80</v>
      </c>
      <c r="D18" s="1" t="s">
        <v>71</v>
      </c>
      <c r="E18" s="1">
        <v>7480102.0</v>
      </c>
      <c r="F18" s="1" t="s">
        <v>72</v>
      </c>
      <c r="G18" s="1" t="s">
        <v>41</v>
      </c>
      <c r="H18" s="1" t="s">
        <v>42</v>
      </c>
      <c r="I18" s="1">
        <v>4.0</v>
      </c>
      <c r="J18" s="1" t="s">
        <v>33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73</v>
      </c>
      <c r="B19" s="1" t="s">
        <v>74</v>
      </c>
      <c r="C19" s="1" t="s">
        <v>45</v>
      </c>
      <c r="D19" s="1" t="s">
        <v>71</v>
      </c>
      <c r="E19" s="1">
        <v>7480102.0</v>
      </c>
      <c r="F19" s="1" t="s">
        <v>72</v>
      </c>
      <c r="G19" s="1" t="s">
        <v>41</v>
      </c>
      <c r="H19" s="1" t="s">
        <v>42</v>
      </c>
      <c r="I19" s="1">
        <v>4.0</v>
      </c>
      <c r="J19" s="1" t="s">
        <v>28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3" t="str">
        <f>IFERROR(__xludf.DUMMYFUNCTION("QUERY(Tong_hop!A1:J100,""SELECT A,B,C,F WHERE F='Information Technology'"",1)"),"MSSV")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Nganh")</f>
        <v>Ten Nganh</v>
      </c>
    </row>
    <row r="2">
      <c r="A2" s="3" t="str">
        <f>IFERROR(__xludf.DUMMYFUNCTION("""COMPUTED_VALUE"""),"S1800005")</f>
        <v>S1800005</v>
      </c>
      <c r="B2" s="3" t="str">
        <f>IFERROR(__xludf.DUMMYFUNCTION("""COMPUTED_VALUE"""),"Le Duy")</f>
        <v>Le Duy</v>
      </c>
      <c r="C2" s="3" t="str">
        <f>IFERROR(__xludf.DUMMYFUNCTION("""COMPUTED_VALUE"""),"Anh")</f>
        <v>Anh</v>
      </c>
      <c r="D2" s="3" t="str">
        <f>IFERROR(__xludf.DUMMYFUNCTION("""COMPUTED_VALUE"""),"Information Technology")</f>
        <v>Information Technology</v>
      </c>
    </row>
    <row r="3">
      <c r="A3" s="3" t="str">
        <f>IFERROR(__xludf.DUMMYFUNCTION("""COMPUTED_VALUE"""),"B1706575")</f>
        <v>B1706575</v>
      </c>
      <c r="B3" s="3" t="str">
        <f>IFERROR(__xludf.DUMMYFUNCTION("""COMPUTED_VALUE"""),"Pham Hai")</f>
        <v>Pham Hai</v>
      </c>
      <c r="C3" s="3" t="str">
        <f>IFERROR(__xludf.DUMMYFUNCTION("""COMPUTED_VALUE"""),"Do")</f>
        <v>Do</v>
      </c>
      <c r="D3" s="3" t="str">
        <f>IFERROR(__xludf.DUMMYFUNCTION("""COMPUTED_VALUE"""),"Information Technology")</f>
        <v>Information Technology</v>
      </c>
    </row>
    <row r="4">
      <c r="A4" s="3" t="str">
        <f>IFERROR(__xludf.DUMMYFUNCTION("""COMPUTED_VALUE"""),"B1706487")</f>
        <v>B1706487</v>
      </c>
      <c r="B4" s="3" t="str">
        <f>IFERROR(__xludf.DUMMYFUNCTION("""COMPUTED_VALUE"""),"Nguyen Tran")</f>
        <v>Nguyen Tran</v>
      </c>
      <c r="C4" s="3" t="str">
        <f>IFERROR(__xludf.DUMMYFUNCTION("""COMPUTED_VALUE"""),"Le")</f>
        <v>Le</v>
      </c>
      <c r="D4" s="3" t="str">
        <f>IFERROR(__xludf.DUMMYFUNCTION("""COMPUTED_VALUE"""),"Information Technology")</f>
        <v>Information Technology</v>
      </c>
    </row>
    <row r="5">
      <c r="A5" s="3" t="str">
        <f>IFERROR(__xludf.DUMMYFUNCTION("""COMPUTED_VALUE"""),"B2000000")</f>
        <v>B2000000</v>
      </c>
      <c r="B5" s="3" t="str">
        <f>IFERROR(__xludf.DUMMYFUNCTION("""COMPUTED_VALUE"""),"Mai Thanh")</f>
        <v>Mai Thanh</v>
      </c>
      <c r="C5" s="3" t="str">
        <f>IFERROR(__xludf.DUMMYFUNCTION("""COMPUTED_VALUE"""),"Dat")</f>
        <v>Dat</v>
      </c>
      <c r="D5" s="3" t="str">
        <f>IFERROR(__xludf.DUMMYFUNCTION("""COMPUTED_VALUE"""),"Information Technology")</f>
        <v>Information Technology</v>
      </c>
    </row>
    <row r="6">
      <c r="A6" s="3" t="str">
        <f>IFERROR(__xludf.DUMMYFUNCTION("""COMPUTED_VALUE"""),"B2000000")</f>
        <v>B2000000</v>
      </c>
      <c r="B6" s="3" t="str">
        <f>IFERROR(__xludf.DUMMYFUNCTION("""COMPUTED_VALUE"""),"Mai Thanh")</f>
        <v>Mai Thanh</v>
      </c>
      <c r="C6" s="3" t="str">
        <f>IFERROR(__xludf.DUMMYFUNCTION("""COMPUTED_VALUE"""),"Dat")</f>
        <v>Dat</v>
      </c>
      <c r="D6" s="3" t="str">
        <f>IFERROR(__xludf.DUMMYFUNCTION("""COMPUTED_VALUE"""),"Information Technology")</f>
        <v>Information Technology</v>
      </c>
    </row>
    <row r="7">
      <c r="A7" s="3" t="str">
        <f>IFERROR(__xludf.DUMMYFUNCTION("""COMPUTED_VALUE"""),"B1809110")</f>
        <v>B1809110</v>
      </c>
      <c r="B7" s="3" t="str">
        <f>IFERROR(__xludf.DUMMYFUNCTION("""COMPUTED_VALUE"""),"Thi")</f>
        <v>Thi</v>
      </c>
      <c r="C7" s="3" t="str">
        <f>IFERROR(__xludf.DUMMYFUNCTION("""COMPUTED_VALUE"""),"Dui")</f>
        <v>Dui</v>
      </c>
      <c r="D7" s="3" t="str">
        <f>IFERROR(__xludf.DUMMYFUNCTION("""COMPUTED_VALUE"""),"Information Technology")</f>
        <v>Information Technology</v>
      </c>
    </row>
    <row r="8">
      <c r="A8" s="3" t="str">
        <f>IFERROR(__xludf.DUMMYFUNCTION("""COMPUTED_VALUE"""),"B1809222")</f>
        <v>B1809222</v>
      </c>
      <c r="B8" s="3" t="str">
        <f>IFERROR(__xludf.DUMMYFUNCTION("""COMPUTED_VALUE"""),"Nguyen")</f>
        <v>Nguyen</v>
      </c>
      <c r="C8" s="3" t="str">
        <f>IFERROR(__xludf.DUMMYFUNCTION("""COMPUTED_VALUE"""),"Duy")</f>
        <v>Duy</v>
      </c>
      <c r="D8" s="3" t="str">
        <f>IFERROR(__xludf.DUMMYFUNCTION("""COMPUTED_VALUE"""),"Information Technology")</f>
        <v>Information Technology</v>
      </c>
    </row>
    <row r="9">
      <c r="A9" s="3" t="str">
        <f>IFERROR(__xludf.DUMMYFUNCTION("""COMPUTED_VALUE"""),"B1706582")</f>
        <v>B1706582</v>
      </c>
      <c r="B9" s="3" t="str">
        <f>IFERROR(__xludf.DUMMYFUNCTION("""COMPUTED_VALUE"""),"Le Trong")</f>
        <v>Le Trong</v>
      </c>
      <c r="C9" s="3" t="str">
        <f>IFERROR(__xludf.DUMMYFUNCTION("""COMPUTED_VALUE"""),"Hieu")</f>
        <v>Hieu</v>
      </c>
      <c r="D9" s="3" t="str">
        <f>IFERROR(__xludf.DUMMYFUNCTION("""COMPUTED_VALUE"""),"Information Technology")</f>
        <v>Information Technology</v>
      </c>
    </row>
    <row r="10">
      <c r="A10" s="3" t="str">
        <f>IFERROR(__xludf.DUMMYFUNCTION("""COMPUTED_VALUE"""),"B1809497")</f>
        <v>B1809497</v>
      </c>
      <c r="B10" s="3" t="str">
        <f>IFERROR(__xludf.DUMMYFUNCTION("""COMPUTED_VALUE"""),"Luong Thi")</f>
        <v>Luong Thi</v>
      </c>
      <c r="C10" s="3" t="str">
        <f>IFERROR(__xludf.DUMMYFUNCTION("""COMPUTED_VALUE"""),"Ni")</f>
        <v>Ni</v>
      </c>
      <c r="D10" s="3" t="str">
        <f>IFERROR(__xludf.DUMMYFUNCTION("""COMPUTED_VALUE"""),"Information Technology")</f>
        <v>Information Technology</v>
      </c>
    </row>
    <row r="11">
      <c r="A11" s="3" t="str">
        <f>IFERROR(__xludf.DUMMYFUNCTION("""COMPUTED_VALUE"""),"B1809236")</f>
        <v>B1809236</v>
      </c>
      <c r="B11" s="3" t="str">
        <f>IFERROR(__xludf.DUMMYFUNCTION("""COMPUTED_VALUE"""),"Nguyen Minh")</f>
        <v>Nguyen Minh</v>
      </c>
      <c r="C11" s="3" t="str">
        <f>IFERROR(__xludf.DUMMYFUNCTION("""COMPUTED_VALUE"""),"Hieu")</f>
        <v>Hieu</v>
      </c>
      <c r="D11" s="3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5.25"/>
  </cols>
  <sheetData>
    <row r="1">
      <c r="A1" s="3" t="str">
        <f>IFERROR(__xludf.DUMMYFUNCTION("QUERY(Tong_hop!A1:J100,""SELECT A,B,C,D,H WHERE H='Fundamentials of Information Technology'"",1)"),"MSSV")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lop")</f>
        <v>Ten lop</v>
      </c>
      <c r="E1" s="3" t="str">
        <f>IFERROR(__xludf.DUMMYFUNCTION("""COMPUTED_VALUE"""),"Ten MH")</f>
        <v>Ten MH</v>
      </c>
    </row>
    <row r="2">
      <c r="A2" s="3" t="str">
        <f>IFERROR(__xludf.DUMMYFUNCTION("""COMPUTED_VALUE"""),"B1809222")</f>
        <v>B1809222</v>
      </c>
      <c r="B2" s="3" t="str">
        <f>IFERROR(__xludf.DUMMYFUNCTION("""COMPUTED_VALUE"""),"Nguyen")</f>
        <v>Nguyen</v>
      </c>
      <c r="C2" s="3" t="str">
        <f>IFERROR(__xludf.DUMMYFUNCTION("""COMPUTED_VALUE"""),"Duy")</f>
        <v>Duy</v>
      </c>
      <c r="D2" s="3" t="str">
        <f>IFERROR(__xludf.DUMMYFUNCTION("""COMPUTED_VALUE"""),"DI19V7A2")</f>
        <v>DI19V7A2</v>
      </c>
      <c r="E2" s="3" t="str">
        <f>IFERROR(__xludf.DUMMYFUNCTION("""COMPUTED_VALUE"""),"Fundamentials of Information Technology")</f>
        <v>Fundamentials of Information Technology</v>
      </c>
    </row>
    <row r="3">
      <c r="A3" s="3" t="str">
        <f>IFERROR(__xludf.DUMMYFUNCTION("""COMPUTED_VALUE"""),"B1807568")</f>
        <v>B1807568</v>
      </c>
      <c r="B3" s="3" t="str">
        <f>IFERROR(__xludf.DUMMYFUNCTION("""COMPUTED_VALUE"""),"Doan Nhat")</f>
        <v>Doan Nhat</v>
      </c>
      <c r="C3" s="3" t="str">
        <f>IFERROR(__xludf.DUMMYFUNCTION("""COMPUTED_VALUE"""),"Linh")</f>
        <v>Linh</v>
      </c>
      <c r="D3" s="3" t="str">
        <f>IFERROR(__xludf.DUMMYFUNCTION("""COMPUTED_VALUE"""),"DI18T9A1")</f>
        <v>DI18T9A1</v>
      </c>
      <c r="E3" s="3" t="str">
        <f>IFERROR(__xludf.DUMMYFUNCTION("""COMPUTED_VALUE"""),"Fundamentials of Information Technology")</f>
        <v>Fundamentials of Information Technology</v>
      </c>
    </row>
    <row r="4">
      <c r="A4" s="3" t="str">
        <f>IFERROR(__xludf.DUMMYFUNCTION("""COMPUTED_VALUE"""),"B1807569")</f>
        <v>B1807569</v>
      </c>
      <c r="B4" s="3" t="str">
        <f>IFERROR(__xludf.DUMMYFUNCTION("""COMPUTED_VALUE"""),"Nguyen Van")</f>
        <v>Nguyen Van</v>
      </c>
      <c r="C4" s="3" t="str">
        <f>IFERROR(__xludf.DUMMYFUNCTION("""COMPUTED_VALUE"""),"Linh")</f>
        <v>Linh</v>
      </c>
      <c r="D4" s="3" t="str">
        <f>IFERROR(__xludf.DUMMYFUNCTION("""COMPUTED_VALUE"""),"DI18T9A1")</f>
        <v>DI18T9A1</v>
      </c>
      <c r="E4" s="3" t="str">
        <f>IFERROR(__xludf.DUMMYFUNCTION("""COMPUTED_VALUE"""),"Fundamentials of Information Technology")</f>
        <v>Fundamentials of Information Technology</v>
      </c>
    </row>
    <row r="5">
      <c r="A5" s="3" t="str">
        <f>IFERROR(__xludf.DUMMYFUNCTION("""COMPUTED_VALUE"""),"B1807554")</f>
        <v>B1807554</v>
      </c>
      <c r="B5" s="3" t="str">
        <f>IFERROR(__xludf.DUMMYFUNCTION("""COMPUTED_VALUE"""),"Dinh Ho Trung")</f>
        <v>Dinh Ho Trung</v>
      </c>
      <c r="C5" s="3" t="str">
        <f>IFERROR(__xludf.DUMMYFUNCTION("""COMPUTED_VALUE"""),"Hau")</f>
        <v>Hau</v>
      </c>
      <c r="D5" s="3" t="str">
        <f>IFERROR(__xludf.DUMMYFUNCTION("""COMPUTED_VALUE"""),"DI18T9A1")</f>
        <v>DI18T9A1</v>
      </c>
      <c r="E5" s="3" t="str">
        <f>IFERROR(__xludf.DUMMYFUNCTION("""COMPUTED_VALUE"""),"Fundamentials of Information Technology")</f>
        <v>Fundamentials of Information Technology</v>
      </c>
    </row>
    <row r="6">
      <c r="A6" s="3" t="str">
        <f>IFERROR(__xludf.DUMMYFUNCTION("""COMPUTED_VALUE"""),"B1807555")</f>
        <v>B1807555</v>
      </c>
      <c r="B6" s="3" t="str">
        <f>IFERROR(__xludf.DUMMYFUNCTION("""COMPUTED_VALUE"""),"Nguyen Trong")</f>
        <v>Nguyen Trong</v>
      </c>
      <c r="C6" s="3" t="str">
        <f>IFERROR(__xludf.DUMMYFUNCTION("""COMPUTED_VALUE"""),"Hieu")</f>
        <v>Hieu</v>
      </c>
      <c r="D6" s="3" t="str">
        <f>IFERROR(__xludf.DUMMYFUNCTION("""COMPUTED_VALUE"""),"DI18T9A1")</f>
        <v>DI18T9A1</v>
      </c>
      <c r="E6" s="3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3" t="str">
        <f>IFERROR(__xludf.DUMMYFUNCTION("QUERY(Tong_hop!A1:J100,""SELECT A,B,C,H,J WHERE H CONTAINS 'System Administration' AND (J='D' OR J='F')"",1)"),"MSSV")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MH")</f>
        <v>Ten MH</v>
      </c>
      <c r="E1" s="3" t="str">
        <f>IFERROR(__xludf.DUMMYFUNCTION("""COMPUTED_VALUE"""),"Diem")</f>
        <v>Diem</v>
      </c>
    </row>
    <row r="2">
      <c r="A2" s="3" t="str">
        <f>IFERROR(__xludf.DUMMYFUNCTION("""COMPUTED_VALUE"""),"B2000000")</f>
        <v>B2000000</v>
      </c>
      <c r="B2" s="3" t="str">
        <f>IFERROR(__xludf.DUMMYFUNCTION("""COMPUTED_VALUE"""),"Mai Thanh")</f>
        <v>Mai Thanh</v>
      </c>
      <c r="C2" s="3" t="str">
        <f>IFERROR(__xludf.DUMMYFUNCTION("""COMPUTED_VALUE"""),"Dat")</f>
        <v>Dat</v>
      </c>
      <c r="D2" s="3" t="str">
        <f>IFERROR(__xludf.DUMMYFUNCTION("""COMPUTED_VALUE"""),"System Administration 2")</f>
        <v>System Administration 2</v>
      </c>
      <c r="E2" s="3" t="str">
        <f>IFERROR(__xludf.DUMMYFUNCTION("""COMPUTED_VALUE"""),"F")</f>
        <v>F</v>
      </c>
    </row>
    <row r="3">
      <c r="A3" s="3" t="str">
        <f>IFERROR(__xludf.DUMMYFUNCTION("""COMPUTED_VALUE"""),"B1809236")</f>
        <v>B1809236</v>
      </c>
      <c r="B3" s="3" t="str">
        <f>IFERROR(__xludf.DUMMYFUNCTION("""COMPUTED_VALUE"""),"Nguyen Minh")</f>
        <v>Nguyen Minh</v>
      </c>
      <c r="C3" s="3" t="str">
        <f>IFERROR(__xludf.DUMMYFUNCTION("""COMPUTED_VALUE"""),"Hieu")</f>
        <v>Hieu</v>
      </c>
      <c r="D3" s="3" t="str">
        <f>IFERROR(__xludf.DUMMYFUNCTION("""COMPUTED_VALUE"""),"System Administration 2")</f>
        <v>System Administration 2</v>
      </c>
      <c r="E3" s="3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13"/>
  </cols>
  <sheetData>
    <row r="1">
      <c r="A1" s="3" t="str">
        <f>IFERROR(__xludf.DUMMYFUNCTION("QUERY(QUERY(Tong_hop!A:J,""SELECT A,B,C,F,COUNT(H) WHERE H IS NOT NULL GROUP BY A,B,C,F"",1),""SELECT * WHERE Col5 &gt; 1 LABEL Col5 'So mon hoc'"",1)"),"MSSV")</f>
        <v>MSSV</v>
      </c>
      <c r="B1" s="3" t="str">
        <f>IFERROR(__xludf.DUMMYFUNCTION("""COMPUTED_VALUE"""),"Ho")</f>
        <v>Ho</v>
      </c>
      <c r="C1" s="3" t="str">
        <f>IFERROR(__xludf.DUMMYFUNCTION("""COMPUTED_VALUE"""),"Ten")</f>
        <v>Ten</v>
      </c>
      <c r="D1" s="3" t="str">
        <f>IFERROR(__xludf.DUMMYFUNCTION("""COMPUTED_VALUE"""),"Ten Nganh")</f>
        <v>Ten Nganh</v>
      </c>
      <c r="E1" s="3" t="str">
        <f>IFERROR(__xludf.DUMMYFUNCTION("""COMPUTED_VALUE"""),"So mon hoc")</f>
        <v>So mon hoc</v>
      </c>
    </row>
    <row r="2">
      <c r="A2" s="3" t="str">
        <f>IFERROR(__xludf.DUMMYFUNCTION("""COMPUTED_VALUE"""),"B1807555")</f>
        <v>B1807555</v>
      </c>
      <c r="B2" s="3" t="str">
        <f>IFERROR(__xludf.DUMMYFUNCTION("""COMPUTED_VALUE"""),"Nguyen Trong")</f>
        <v>Nguyen Trong</v>
      </c>
      <c r="C2" s="3" t="str">
        <f>IFERROR(__xludf.DUMMYFUNCTION("""COMPUTED_VALUE"""),"Hieu")</f>
        <v>Hieu</v>
      </c>
      <c r="D2" s="3" t="str">
        <f>IFERROR(__xludf.DUMMYFUNCTION("""COMPUTED_VALUE"""),"Computer Networks And Communication")</f>
        <v>Computer Networks And Communication</v>
      </c>
      <c r="E2" s="3">
        <f>IFERROR(__xludf.DUMMYFUNCTION("""COMPUTED_VALUE"""),2.0)</f>
        <v>2</v>
      </c>
    </row>
    <row r="3">
      <c r="A3" s="3" t="str">
        <f>IFERROR(__xludf.DUMMYFUNCTION("""COMPUTED_VALUE"""),"B2000000")</f>
        <v>B2000000</v>
      </c>
      <c r="B3" s="3" t="str">
        <f>IFERROR(__xludf.DUMMYFUNCTION("""COMPUTED_VALUE"""),"Mai Thanh")</f>
        <v>Mai Thanh</v>
      </c>
      <c r="C3" s="3" t="str">
        <f>IFERROR(__xludf.DUMMYFUNCTION("""COMPUTED_VALUE"""),"Dat")</f>
        <v>Dat</v>
      </c>
      <c r="D3" s="3" t="str">
        <f>IFERROR(__xludf.DUMMYFUNCTION("""COMPUTED_VALUE"""),"Information Technology")</f>
        <v>Information Technology</v>
      </c>
      <c r="E3" s="3">
        <f>IFERROR(__xludf.DUMMYFUNCTION("""COMPUTED_VALUE"""),2.0)</f>
        <v>2</v>
      </c>
    </row>
  </sheetData>
  <drawing r:id="rId1"/>
</worksheet>
</file>